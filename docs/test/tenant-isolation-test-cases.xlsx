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hợp" sheetId="1" state="visible" r:id="rId3"/>
    <sheet name="Test case" sheetId="2" state="visible" r:id="rId4"/>
  </sheets>
  <definedNames>
    <definedName function="false" hidden="true" localSheetId="1" name="_xlnm._FilterDatabase" vbProcedure="false">'Test case'!$A$1:$I$205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<sst xmlns="http://schemas.openxmlformats.org/spreadsheetml/2006/main" count="1702" uniqueCount="847">
  <si>
    <t xml:space="preserve">Tổng hợp test case — Cách ly dữ liệu giữa các tenant (Postgres)</t>
  </si>
  <si>
    <t xml:space="preserve">Tiền tố</t>
  </si>
  <si>
    <t xml:space="preserve">Nhóm</t>
  </si>
  <si>
    <t xml:space="preserve">Mục tài liệu</t>
  </si>
  <si>
    <t xml:space="preserve">Số test case</t>
  </si>
  <si>
    <t xml:space="preserve">Đạt</t>
  </si>
  <si>
    <t xml:space="preserve">Không đạt</t>
  </si>
  <si>
    <t xml:space="preserve">Chưa chạy</t>
  </si>
  <si>
    <t xml:space="preserve">ISO</t>
  </si>
  <si>
    <t xml:space="preserve">Nguyên tắc cách ly chung (đọc/ghi/suy ra)</t>
  </si>
  <si>
    <t xml:space="preserve">1</t>
  </si>
  <si>
    <t xml:space="preserve">TBL</t>
  </si>
  <si>
    <t xml:space="preserve">Bảng không có tenant_id</t>
  </si>
  <si>
    <t xml:space="preserve">4.1</t>
  </si>
  <si>
    <t xml:space="preserve">PRV</t>
  </si>
  <si>
    <t xml:space="preserve">Phân quyền theo câu lệnh và vai trò</t>
  </si>
  <si>
    <t xml:space="preserve">3.1, 3.5</t>
  </si>
  <si>
    <t xml:space="preserve">ROL</t>
  </si>
  <si>
    <t xml:space="preserve">Thuộc tính và vai trò (role attributes)</t>
  </si>
  <si>
    <t xml:space="preserve">3.2 – 3.4, 3.6.1, 3.6.2</t>
  </si>
  <si>
    <t xml:space="preserve">CFG</t>
  </si>
  <si>
    <t xml:space="preserve">Quyền và cấu hình bắt buộc của role</t>
  </si>
  <si>
    <t xml:space="preserve">3.6.3</t>
  </si>
  <si>
    <t xml:space="preserve">APP</t>
  </si>
  <si>
    <t xml:space="preserve">Rò rỉ qua app_user</t>
  </si>
  <si>
    <t xml:space="preserve">4.2</t>
  </si>
  <si>
    <t xml:space="preserve">MIG</t>
  </si>
  <si>
    <t xml:space="preserve">Rò rỉ qua app_migrator / migration</t>
  </si>
  <si>
    <t xml:space="preserve">4.3</t>
  </si>
  <si>
    <t xml:space="preserve">OBJ</t>
  </si>
  <si>
    <t xml:space="preserve">Đối tượng mới làm rò rỉ</t>
  </si>
  <si>
    <t xml:space="preserve">4.5</t>
  </si>
  <si>
    <t xml:space="preserve">CLU</t>
  </si>
  <si>
    <t xml:space="preserve">Cấu hình cấp cluster</t>
  </si>
  <si>
    <t xml:space="preserve">4.6</t>
  </si>
  <si>
    <t xml:space="preserve">GRT</t>
  </si>
  <si>
    <t xml:space="preserve">Lệch quyền gián tiếp (config drift)</t>
  </si>
  <si>
    <t xml:space="preserve">4.7</t>
  </si>
  <si>
    <t xml:space="preserve">CON</t>
  </si>
  <si>
    <t xml:space="preserve">Dùng chung connection (connection pool)</t>
  </si>
  <si>
    <t xml:space="preserve">4.8</t>
  </si>
  <si>
    <t xml:space="preserve">SID</t>
  </si>
  <si>
    <t xml:space="preserve">Side channel</t>
  </si>
  <si>
    <t xml:space="preserve">4.9</t>
  </si>
  <si>
    <t xml:space="preserve">OUT</t>
  </si>
  <si>
    <t xml:space="preserve">Dữ liệu nằm ngoài bảng</t>
  </si>
  <si>
    <t xml:space="preserve">4.10</t>
  </si>
  <si>
    <t xml:space="preserve">Tổng</t>
  </si>
  <si>
    <t xml:space="preserve">Theo mức ưu tiên</t>
  </si>
  <si>
    <t xml:space="preserve">P0</t>
  </si>
  <si>
    <t xml:space="preserve">Bắt buộc, lỗi là rò rỉ dữ liệu trực tiếp</t>
  </si>
  <si>
    <t xml:space="preserve">P1</t>
  </si>
  <si>
    <t xml:space="preserve">Cao, rò rỉ gián tiếp hoặc lệch cấu hình</t>
  </si>
  <si>
    <t xml:space="preserve">P2</t>
  </si>
  <si>
    <t xml:space="preserve">Trung bình, side channel/vận hành</t>
  </si>
  <si>
    <t xml:space="preserve">P3</t>
  </si>
  <si>
    <t xml:space="preserve">Thấp</t>
  </si>
  <si>
    <t xml:space="preserve">Hướng dẫn: nhập kết quả vào cột 'Kết quả thực tế' và chọn 'Trạng thái' (ô nền vàng) ở sheet 'Test case'; sheet này tự cập nhật.</t>
  </si>
  <si>
    <t xml:space="preserve">Mã TC có dạng TC-&lt;nhóm&gt;-&lt;số thứ tự&gt;. Nhóm: ISO, TBL, PRV, ROL, CFG, APP, MIG, OBJ, CLU, GRT, CON, SID, OUT.</t>
  </si>
  <si>
    <t xml:space="preserve">Ví dụ đã điền sẵn: TC-APP-01 kiểm tra app_user tự đổi app.tenant_id; kết quả mong đợi là không đọc được dữ liệu tenant khác.</t>
  </si>
  <si>
    <t xml:space="preserve">Giả định: vai trò app_user/app_owner/app_migrator/postgres và ENABLE + FORCE RLS đúng như tài liệu; test dùng ít nhất 2 tenant (A, B) có dữ liệu mẫu.</t>
  </si>
  <si>
    <t xml:space="preserve">Mã TC</t>
  </si>
  <si>
    <t xml:space="preserve">Kiểm thử điều gì</t>
  </si>
  <si>
    <t xml:space="preserve">Cách thực hiện</t>
  </si>
  <si>
    <t xml:space="preserve">Kết quả mong đợi</t>
  </si>
  <si>
    <t xml:space="preserve">Ưu tiên</t>
  </si>
  <si>
    <t xml:space="preserve">Kết quả thực tế</t>
  </si>
  <si>
    <t xml:space="preserve">Trạng thái</t>
  </si>
  <si>
    <t xml:space="preserve">TC-ISO-01</t>
  </si>
  <si>
    <t xml:space="preserve">Tenant A không đọc (xem/tìm/liệt kê) được dữ liệu tenant B</t>
  </si>
  <si>
    <t xml:space="preserve">Đăng nhập tenant A, gọi API get/list/search dữ liệu của B</t>
  </si>
  <si>
    <t xml:space="preserve">Không trả dòng nào của B</t>
  </si>
  <si>
    <t xml:space="preserve">TC-ISO-02</t>
  </si>
  <si>
    <t xml:space="preserve">Tenant A không export được dữ liệu tenant B</t>
  </si>
  <si>
    <t xml:space="preserve">Chạy chức năng export/báo cáo bằng tenant A</t>
  </si>
  <si>
    <t xml:space="preserve">File chỉ chứa dữ liệu A</t>
  </si>
  <si>
    <t xml:space="preserve">TC-ISO-03</t>
  </si>
  <si>
    <t xml:space="preserve">Tenant A không tạo được dữ liệu thuộc tenant B</t>
  </si>
  <si>
    <t xml:space="preserve">POST với tenant_id của B trong body/param</t>
  </si>
  <si>
    <t xml:space="preserve">Bị từ chối hoặc ghi vào tenant A; không có dòng mới ở B</t>
  </si>
  <si>
    <t xml:space="preserve">TC-ISO-04</t>
  </si>
  <si>
    <t xml:space="preserve">Tenant A không sửa được dữ liệu tenant B</t>
  </si>
  <si>
    <t xml:space="preserve">PUT/PATCH theo ID của B</t>
  </si>
  <si>
    <t xml:space="preserve">404 / 0 dòng bị ảnh hưởng; dữ liệu B không đổi</t>
  </si>
  <si>
    <t xml:space="preserve">TC-ISO-05</t>
  </si>
  <si>
    <t xml:space="preserve">Tenant A không xóa được dữ liệu tenant B</t>
  </si>
  <si>
    <t xml:space="preserve">DELETE theo ID của B</t>
  </si>
  <si>
    <t xml:space="preserve">404 / 0 dòng bị ảnh hưởng; dữ liệu B còn nguyên</t>
  </si>
  <si>
    <t xml:space="preserve">TC-ISO-06</t>
  </si>
  <si>
    <t xml:space="preserve">Phản hồi khi truy cập ID của tenant khác giống hệt ID không tồn tại</t>
  </si>
  <si>
    <t xml:space="preserve">So sánh /orders/{id của B} với /orders/{id không có thật}</t>
  </si>
  <si>
    <t xml:space="preserve">Cùng mã lỗi 'không tìm thấy', cùng nội dung, không phải 'không có quyền'</t>
  </si>
  <si>
    <t xml:space="preserve">TC-ISO-07</t>
  </si>
  <si>
    <t xml:space="preserve">Thống kê chung không làm lộ số liệu tenant khác</t>
  </si>
  <si>
    <t xml:space="preserve">Gọi API thống kê/đếm từ tenant A</t>
  </si>
  <si>
    <t xml:space="preserve">Chỉ đếm dữ liệu của A</t>
  </si>
  <si>
    <t xml:space="preserve">TC-ISO-08</t>
  </si>
  <si>
    <t xml:space="preserve">Thông báo lỗi không chứa dữ liệu tenant khác</t>
  </si>
  <si>
    <t xml:space="preserve">Gây lỗi nghiệp vụ trên tenant A, đọc nội dung lỗi</t>
  </si>
  <si>
    <t xml:space="preserve">Không có giá trị/ID/tên của B</t>
  </si>
  <si>
    <t xml:space="preserve">TC-ISO-09</t>
  </si>
  <si>
    <t xml:space="preserve">Khóa cache có tenant_id</t>
  </si>
  <si>
    <t xml:space="preserve">Tenant A và B cùng gọi một endpoint có cache; so sánh khóa và kết quả</t>
  </si>
  <si>
    <t xml:space="preserve">Khóa khác nhau theo tenant; không trả nhầm cache</t>
  </si>
  <si>
    <t xml:space="preserve">TC-ISO-10</t>
  </si>
  <si>
    <t xml:space="preserve">File lưu trữ tách theo thư mục/bucket/tiền tố tenant</t>
  </si>
  <si>
    <t xml:space="preserve">Tenant A thử tải file theo đường dẫn/ID file của B</t>
  </si>
  <si>
    <t xml:space="preserve">Bị từ chối / không tìm thấy</t>
  </si>
  <si>
    <t xml:space="preserve">TC-ISO-11</t>
  </si>
  <si>
    <t xml:space="preserve">Log không lẫn dữ liệu nhạy cảm tenant khác trong tầm xem của tenant</t>
  </si>
  <si>
    <t xml:space="preserve">Xem log/audit mà tenant A truy cập được</t>
  </si>
  <si>
    <t xml:space="preserve">Chỉ có log của A</t>
  </si>
  <si>
    <t xml:space="preserve">TC-ISO-12</t>
  </si>
  <si>
    <t xml:space="preserve">Search index lọc theo tenant</t>
  </si>
  <si>
    <t xml:space="preserve">Tìm kiếm từ khóa chỉ có ở dữ liệu B bằng tenant A</t>
  </si>
  <si>
    <t xml:space="preserve">Không có kết quả</t>
  </si>
  <si>
    <t xml:space="preserve">TC-ISO-13</t>
  </si>
  <si>
    <t xml:space="preserve">Hàng đợi tin nhắn không giao nhầm tenant</t>
  </si>
  <si>
    <t xml:space="preserve">Đẩy message của A và B, kiểm tra consumer và tenant_id mang theo</t>
  </si>
  <si>
    <t xml:space="preserve">Mỗi message xử lý đúng tenant</t>
  </si>
  <si>
    <t xml:space="preserve">TC-ISO-14</t>
  </si>
  <si>
    <t xml:space="preserve">Khôi phục (restore) tenant A không ảnh hưởng tenant B</t>
  </si>
  <si>
    <t xml:space="preserve">Restore dữ liệu A từ backup rồi đối chiếu dữ liệu B</t>
  </si>
  <si>
    <t xml:space="preserve">Dữ liệu B không đổi</t>
  </si>
  <si>
    <t xml:space="preserve">TC-TBL-01</t>
  </si>
  <si>
    <t xml:space="preserve">Bảng tham chiếu dùng chung (quốc gia, tiền tệ...) đọc được bởi mọi tenant</t>
  </si>
  <si>
    <t xml:space="preserve">SELECT bằng app_user ở các tenant khác nhau</t>
  </si>
  <si>
    <t xml:space="preserve">Mọi tenant đọc cùng dữ liệu; app_user không có quyền ghi</t>
  </si>
  <si>
    <t xml:space="preserve">TC-TBL-02</t>
  </si>
  <si>
    <t xml:space="preserve">Bảng cấu hình nền tảng (plans, feature flags) không cho tenant sửa</t>
  </si>
  <si>
    <t xml:space="preserve">UPDATE/INSERT bằng app_user</t>
  </si>
  <si>
    <t xml:space="preserve">Bị từ chối (permission denied)</t>
  </si>
  <si>
    <t xml:space="preserve">TC-TBL-03</t>
  </si>
  <si>
    <t xml:space="preserve">Bảng tenants: tenant chỉ thấy bản ghi của chính mình</t>
  </si>
  <si>
    <t xml:space="preserve">SELECT * FROM tenants với app.tenant_id = A</t>
  </si>
  <si>
    <t xml:space="preserve">Chỉ trả dòng id = A</t>
  </si>
  <si>
    <t xml:space="preserve">TC-TBL-04</t>
  </si>
  <si>
    <t xml:space="preserve">Bảng con (order_items) có tenant_id và policy lọc trực tiếp</t>
  </si>
  <si>
    <t xml:space="preserve">Kiểm tra cột và policy; truy vấn bằng tenant khác</t>
  </si>
  <si>
    <t xml:space="preserve">Có tenant_id, RLS lọc đúng, không cần join</t>
  </si>
  <si>
    <t xml:space="preserve">TC-TBL-05</t>
  </si>
  <si>
    <t xml:space="preserve">Bảng nối many-to-many có tenant_id và FK kép</t>
  </si>
  <si>
    <t xml:space="preserve">Thử chèn dòng nối giữa 2 bản ghi thuộc 2 tenant khác nhau</t>
  </si>
  <si>
    <t xml:space="preserve">Bị FK kép từ chối</t>
  </si>
  <si>
    <t xml:space="preserve">TC-TBL-06</t>
  </si>
  <si>
    <t xml:space="preserve">Bảng kỹ thuật (schema_migrations, khóa phân tán, job queue) không truy cập được bởi app_user</t>
  </si>
  <si>
    <t xml:space="preserve">SELECT/INSERT bằng app_user</t>
  </si>
  <si>
    <t xml:space="preserve">Bị từ chối hoặc đã tách tenant</t>
  </si>
  <si>
    <t xml:space="preserve">TC-TBL-07</t>
  </si>
  <si>
    <t xml:space="preserve">Bảng memberships: người dùng nhiều tenant chỉ thấy membership hợp lệ</t>
  </si>
  <si>
    <t xml:space="preserve">SELECT memberships với từng tenant</t>
  </si>
  <si>
    <t xml:space="preserve">Chỉ thấy dòng thuộc tenant hiện tại</t>
  </si>
  <si>
    <t xml:space="preserve">TC-PRV-01</t>
  </si>
  <si>
    <t xml:space="preserve">app_user không chạy được CREATE/ALTER/DROP TABLE</t>
  </si>
  <si>
    <t xml:space="preserve">Chạy từng lệnh bằng app_user</t>
  </si>
  <si>
    <t xml:space="preserve">permission denied</t>
  </si>
  <si>
    <t xml:space="preserve">TC-PRV-02</t>
  </si>
  <si>
    <t xml:space="preserve">app_user không chạy được TRUNCATE</t>
  </si>
  <si>
    <t xml:space="preserve">TRUNCATE bảng nghiệp vụ bằng app_user</t>
  </si>
  <si>
    <t xml:space="preserve">TC-PRV-03</t>
  </si>
  <si>
    <t xml:space="preserve">app_user không CREATE INDEX / VIEW / FUNCTION / PROCEDURE / TRIGGER</t>
  </si>
  <si>
    <t xml:space="preserve">TC-PRV-04</t>
  </si>
  <si>
    <t xml:space="preserve">app_user không CREATE/ALTER/DROP POLICY</t>
  </si>
  <si>
    <t xml:space="preserve">permission denied (không phải owner)</t>
  </si>
  <si>
    <t xml:space="preserve">TC-PRV-05</t>
  </si>
  <si>
    <t xml:space="preserve">app_user không CREATE SCHEMA / DATABASE</t>
  </si>
  <si>
    <t xml:space="preserve">Chạy bằng app_user</t>
  </si>
  <si>
    <t xml:space="preserve">TC-PRV-06</t>
  </si>
  <si>
    <t xml:space="preserve">app_user không GRANT/REVOKE/ALTER DEFAULT PRIVILEGES</t>
  </si>
  <si>
    <t xml:space="preserve">TC-PRV-07</t>
  </si>
  <si>
    <t xml:space="preserve">app_user không CREATE/ALTER/DROP ROLE</t>
  </si>
  <si>
    <t xml:space="preserve">Chạy bằng app_user và app_migrator</t>
  </si>
  <si>
    <t xml:space="preserve">permission denied (chỉ postgres)</t>
  </si>
  <si>
    <t xml:space="preserve">TC-PRV-08</t>
  </si>
  <si>
    <t xml:space="preserve">app_migrator chạy được DDL (CREATE TABLE, ALTER, INDEX, POLICY...) qua app_owner</t>
  </si>
  <si>
    <t xml:space="preserve">Chạy migration mẫu bằng app_migrator</t>
  </si>
  <si>
    <t xml:space="preserve">Thành công; đối tượng mới có owner = app_owner</t>
  </si>
  <si>
    <t xml:space="preserve">TC-PRV-09</t>
  </si>
  <si>
    <t xml:space="preserve">app_migrator không CREATE DATABASE / CREATE ROLE</t>
  </si>
  <si>
    <t xml:space="preserve">Chạy bằng app_migrator</t>
  </si>
  <si>
    <t xml:space="preserve">TC-PRV-10</t>
  </si>
  <si>
    <t xml:space="preserve">app_user chạy được INSERT/UPDATE/DELETE/SELECT trong phạm vi tenant</t>
  </si>
  <si>
    <t xml:space="preserve">Thao tác CRUD với app.tenant_id hợp lệ</t>
  </si>
  <si>
    <t xml:space="preserve">Thành công trên dữ liệu của tenant</t>
  </si>
  <si>
    <t xml:space="preserve">TC-PRV-11</t>
  </si>
  <si>
    <t xml:space="preserve">MERGE chỉ tác động dòng của tenant hiện tại</t>
  </si>
  <si>
    <t xml:space="preserve">MERGE với nguồn chứa dòng của tenant khác</t>
  </si>
  <si>
    <t xml:space="preserve">Dòng tenant khác không bị đọc/sửa/xóa/chèn</t>
  </si>
  <si>
    <t xml:space="preserve">TC-PRV-12</t>
  </si>
  <si>
    <t xml:space="preserve">COPY FROM STDIN / COPY (SELECT) TO STDOUT bị RLS áp dụng</t>
  </si>
  <si>
    <t xml:space="preserve">COPY bằng app_user</t>
  </si>
  <si>
    <t xml:space="preserve">Chỉ xuất/nhập dữ liệu của tenant hiện tại; nhập sai tenant bị WITH CHECK chặn</t>
  </si>
  <si>
    <t xml:space="preserve">TC-PRV-13</t>
  </si>
  <si>
    <t xml:space="preserve">SELECT ... FOR UPDATE / FOR SHARE và WITH (CTE) chỉ thấy dòng tenant</t>
  </si>
  <si>
    <t xml:space="preserve">Không khóa/đọc dòng tenant khác</t>
  </si>
  <si>
    <t xml:space="preserve">TC-PRV-14</t>
  </si>
  <si>
    <t xml:space="preserve">EXPLAIN [ANALYZE] bị chặn với app_user ở môi trường production</t>
  </si>
  <si>
    <t xml:space="preserve">Chạy EXPLAIN bằng app_user ở prod và dev</t>
  </si>
  <si>
    <t xml:space="preserve">Prod: bị từ chối; dev: được phép</t>
  </si>
  <si>
    <t xml:space="preserve">TC-PRV-15</t>
  </si>
  <si>
    <t xml:space="preserve">PREPARE TRANSACTION / COMMIT PREPARED / ROLLBACK PREPARED không dùng được</t>
  </si>
  <si>
    <t xml:space="preserve">Chạy bằng mọi role; kiểm tra max_prepared_transactions</t>
  </si>
  <si>
    <t xml:space="preserve">Lỗi vì max_prepared_transactions = 0</t>
  </si>
  <si>
    <t xml:space="preserve">TC-PRV-16</t>
  </si>
  <si>
    <t xml:space="preserve">BEGIN/COMMIT/ROLLBACK, SAVEPOINT, SET TRANSACTION hoạt động ở cả 4 vai trò</t>
  </si>
  <si>
    <t xml:space="preserve">Chạy từng lệnh bằng 4 role</t>
  </si>
  <si>
    <t xml:space="preserve">Thành công, chỉ tác động transaction của chính phiên</t>
  </si>
  <si>
    <t xml:space="preserve">TC-PRV-17</t>
  </si>
  <si>
    <t xml:space="preserve">SET LOCAL app.tenant_id chỉ do app_user (service) thực hiện</t>
  </si>
  <si>
    <t xml:space="preserve">Kiểm tra luồng middleware đặt tenant</t>
  </si>
  <si>
    <t xml:space="preserve">Đặt đúng tenant ở đầu mỗi transaction</t>
  </si>
  <si>
    <t xml:space="preserve">TC-PRV-18</t>
  </si>
  <si>
    <t xml:space="preserve">COMMENT chỉ do app_migrator/postgres</t>
  </si>
  <si>
    <t xml:space="preserve">COMMENT ON bằng app_user</t>
  </si>
  <si>
    <t xml:space="preserve">TC-ROL-01</t>
  </si>
  <si>
    <t xml:space="preserve">Tạo role ở cấp cluster theo thứ tự bootstrap (app_owner → app_migrator → app_user) bởi postgres</t>
  </si>
  <si>
    <t xml:space="preserve">Chạy script bootstrap trên cluster mới; \du</t>
  </si>
  <si>
    <t xml:space="preserve">Cả 3 role tồn tại, người tạo là postgres</t>
  </si>
  <si>
    <t xml:space="preserve">TC-ROL-02</t>
  </si>
  <si>
    <t xml:space="preserve">app_owner là NOLOGIN</t>
  </si>
  <si>
    <t xml:space="preserve">Thử đăng nhập bằng app_owner; xem rolcanlogin</t>
  </si>
  <si>
    <t xml:space="preserve">Không đăng nhập được; rolcanlogin = false</t>
  </si>
  <si>
    <t xml:space="preserve">TC-ROL-03</t>
  </si>
  <si>
    <t xml:space="preserve">app_owner / app_migrator / app_user là NOSUPERUSER</t>
  </si>
  <si>
    <t xml:space="preserve">SELECT rolsuper FROM pg_roles</t>
  </si>
  <si>
    <t xml:space="preserve">false cho cả 3</t>
  </si>
  <si>
    <t xml:space="preserve">TC-ROL-04</t>
  </si>
  <si>
    <t xml:space="preserve">app_owner / app_migrator / app_user là NOBYPASSRLS</t>
  </si>
  <si>
    <t xml:space="preserve">SELECT rolbypassrls FROM pg_roles</t>
  </si>
  <si>
    <t xml:space="preserve">TC-ROL-05</t>
  </si>
  <si>
    <t xml:space="preserve">NOCREATEDB, NOCREATEROLE, NOREPLICATION cho 3 role ứng dụng</t>
  </si>
  <si>
    <t xml:space="preserve">SELECT rolcreatedb, rolcreaterole, rolreplication</t>
  </si>
  <si>
    <t xml:space="preserve">TC-ROL-06</t>
  </si>
  <si>
    <t xml:space="preserve">app_migrator có CONNECTION LIMIT thấp (1–2)</t>
  </si>
  <si>
    <t xml:space="preserve">SELECT rolconnlimit; mở vượt giới hạn</t>
  </si>
  <si>
    <t xml:space="preserve">Kết nối thứ 3 bị từ chối</t>
  </si>
  <si>
    <t xml:space="preserve">TC-ROL-07</t>
  </si>
  <si>
    <t xml:space="preserve">app_user có CONNECTION LIMIT theo kích thước pool</t>
  </si>
  <si>
    <t xml:space="preserve">Vượt giới hạn bị từ chối</t>
  </si>
  <si>
    <t xml:space="preserve">TC-ROL-08</t>
  </si>
  <si>
    <t xml:space="preserve">Xác thực scram-sha-256 hoặc chứng chỉ; không dùng md5/trust/password</t>
  </si>
  <si>
    <t xml:space="preserve">Kiểm tra pg_authid / pg_hba.conf</t>
  </si>
  <si>
    <t xml:space="preserve">Chỉ scram-sha-256 hoặc cert</t>
  </si>
  <si>
    <t xml:space="preserve">TC-ROL-09</t>
  </si>
  <si>
    <t xml:space="preserve">VALID UNTIL đặt và có quy trình xoay vòng mật khẩu</t>
  </si>
  <si>
    <t xml:space="preserve">SELECT rolvaliduntil; thử đăng nhập sau khi hết hạn</t>
  </si>
  <si>
    <t xml:space="preserve">Có ngày hết hạn; hết hạn thì không đăng nhập được</t>
  </si>
  <si>
    <t xml:space="preserve">TC-ROL-10</t>
  </si>
  <si>
    <t xml:space="preserve">app_migrator là thành viên app_owner</t>
  </si>
  <si>
    <t xml:space="preserve">SELECT pg_has_role('app_migrator','app_owner','member')</t>
  </si>
  <si>
    <t xml:space="preserve">true</t>
  </si>
  <si>
    <t xml:space="preserve">TC-ROL-11</t>
  </si>
  <si>
    <t xml:space="preserve">app_user không là thành viên của bất kỳ role nào</t>
  </si>
  <si>
    <t xml:space="preserve">SELECT * FROM pg_auth_members WHERE member = app_user</t>
  </si>
  <si>
    <t xml:space="preserve">0 dòng</t>
  </si>
  <si>
    <t xml:space="preserve">TC-ROL-12</t>
  </si>
  <si>
    <t xml:space="preserve">Đối tượng do app_migrator tạo có owner là app_owner</t>
  </si>
  <si>
    <t xml:space="preserve">Chạy migration (có SET ROLE app_owner); xem owner</t>
  </si>
  <si>
    <t xml:space="preserve">Owner = app_owner, không phải app_migrator</t>
  </si>
  <si>
    <t xml:space="preserve">TC-CFG-01</t>
  </si>
  <si>
    <t xml:space="preserve">app_user không có pg_read_all_data / pg_write_all_data</t>
  </si>
  <si>
    <t xml:space="preserve">Kiểm tra pg_auth_members</t>
  </si>
  <si>
    <t xml:space="preserve">Không có</t>
  </si>
  <si>
    <t xml:space="preserve">TC-CFG-02</t>
  </si>
  <si>
    <t xml:space="preserve">app_user và app_migrator không có pg_read/write_server_files, pg_execute_server_program</t>
  </si>
  <si>
    <t xml:space="preserve">Kiểm tra membership; thử COPY ... TO PROGRAM</t>
  </si>
  <si>
    <t xml:space="preserve">Không có; lệnh bị từ chối</t>
  </si>
  <si>
    <t xml:space="preserve">TC-CFG-03</t>
  </si>
  <si>
    <t xml:space="preserve">app_user không có pg_monitor, pg_read_all_stats, pg_signal_backend, pg_checkpoint, pg_maintain</t>
  </si>
  <si>
    <t xml:space="preserve">Kiểm tra membership; thử pg_terminate_backend</t>
  </si>
  <si>
    <t xml:space="preserve">Không có; bị từ chối</t>
  </si>
  <si>
    <t xml:space="preserve">TC-CFG-04</t>
  </si>
  <si>
    <t xml:space="preserve">app_owner sở hữu mọi bảng, view, function, sequence</t>
  </si>
  <si>
    <t xml:space="preserve">Truy vấn pg_class/pg_proc theo owner</t>
  </si>
  <si>
    <t xml:space="preserve">Mọi đối tượng schema ứng dụng có owner = app_owner</t>
  </si>
  <si>
    <t xml:space="preserve">TC-CFG-05</t>
  </si>
  <si>
    <t xml:space="preserve">Mọi bảng nghiệp vụ bật ENABLE + FORCE ROW LEVEL SECURITY</t>
  </si>
  <si>
    <t xml:space="preserve">SELECT relrowsecurity, relforcerowsecurity FROM pg_class</t>
  </si>
  <si>
    <t xml:space="preserve">Cả hai = true</t>
  </si>
  <si>
    <t xml:space="preserve">TC-CFG-06</t>
  </si>
  <si>
    <t xml:space="preserve">PUBLIC bị thu quyền trên database; chỉ GRANT CONNECT cho role cần</t>
  </si>
  <si>
    <t xml:space="preserve">Kiểm tra has_database_privilege cho PUBLIC</t>
  </si>
  <si>
    <t xml:space="preserve">PUBLIC không có CONNECT/TEMP/CREATE</t>
  </si>
  <si>
    <t xml:space="preserve">TC-CFG-07</t>
  </si>
  <si>
    <t xml:space="preserve">Thu TEMP trên database từ PUBLIC</t>
  </si>
  <si>
    <t xml:space="preserve">CREATE TEMP TABLE bằng app_user</t>
  </si>
  <si>
    <t xml:space="preserve">TC-CFG-08</t>
  </si>
  <si>
    <t xml:space="preserve">Thu CREATE trên schema public; app_user chỉ có USAGE trên schema service</t>
  </si>
  <si>
    <t xml:space="preserve">CREATE TABLE/FUNCTION trong schema bằng app_user</t>
  </si>
  <si>
    <t xml:space="preserve">TC-CFG-09</t>
  </si>
  <si>
    <t xml:space="preserve">app_user chỉ có SELECT, INSERT, UPDATE, DELETE (và USAGE sequence)</t>
  </si>
  <si>
    <t xml:space="preserve">Kiểm tra information_schema.role_table_grants</t>
  </si>
  <si>
    <t xml:space="preserve">Không có TRUNCATE, REFERENCES, TRIGGER, WITH GRANT OPTION</t>
  </si>
  <si>
    <t xml:space="preserve">TC-CFG-10</t>
  </si>
  <si>
    <t xml:space="preserve">Column-level UPDATE không gồm tenant_id</t>
  </si>
  <si>
    <t xml:space="preserve">UPDATE t SET tenant_id = 'B' bằng app_user</t>
  </si>
  <si>
    <t xml:space="preserve">permission denied for column tenant_id</t>
  </si>
  <si>
    <t xml:space="preserve">TC-CFG-11</t>
  </si>
  <si>
    <t xml:space="preserve">ALTER ROLE app_user SET row_security = on</t>
  </si>
  <si>
    <t xml:space="preserve">SHOW row_security bằng app_user; thử tắt</t>
  </si>
  <si>
    <t xml:space="preserve">on; nếu RLS không áp dụng được thì lỗi thay vì lộ dữ liệu</t>
  </si>
  <si>
    <t xml:space="preserve">TC-CFG-12</t>
  </si>
  <si>
    <t xml:space="preserve">ALTER DEFAULT PRIVILEGES FOR ROLE app_owner cấp đúng quyền hẹp</t>
  </si>
  <si>
    <t xml:space="preserve">Tạo bảng mới bằng migrator; xem ACL</t>
  </si>
  <si>
    <t xml:space="preserve">app_user chỉ có SELECT/INSERT/UPDATE/DELETE; PUBLIC không có</t>
  </si>
  <si>
    <t xml:space="preserve">TC-CFG-13</t>
  </si>
  <si>
    <t xml:space="preserve">pg_hba.conf giới hạn IP/phương thức theo role</t>
  </si>
  <si>
    <t xml:space="preserve">Kết nối postgres/app_migrator từ mạng ứng dụng</t>
  </si>
  <si>
    <t xml:space="preserve">Bị từ chối; chỉ cho phép từ mạng quản trị/CI</t>
  </si>
  <si>
    <t xml:space="preserve">TC-APP-01</t>
  </si>
  <si>
    <t xml:space="preserve">app_user tự đổi app.tenant_id (SQL injection/SQL tùy ý)</t>
  </si>
  <si>
    <t xml:space="preserve">Chạy SET/SET LOCAL/set_config('app.tenant_id','B') rồi SELECT</t>
  </si>
  <si>
    <t xml:space="preserve">Không đọc được dữ liệu B (cần cơ chế chống: tenant_id xác thực/ký, hoặc chặn SQL tùy ý)</t>
  </si>
  <si>
    <t xml:space="preserve">TC-APP-02</t>
  </si>
  <si>
    <t xml:space="preserve">SET không LOCAL để lại giá trị trên connection pool</t>
  </si>
  <si>
    <t xml:space="preserve">Request A dùng SET; request B dùng lại kết nối</t>
  </si>
  <si>
    <t xml:space="preserve">Request B không thấy tenant A; code chỉ dùng SET LOCAL</t>
  </si>
  <si>
    <t xml:space="preserve">TC-APP-03</t>
  </si>
  <si>
    <t xml:space="preserve">UPDATE đổi tenant_id sang tenant khác (policy thiếu WITH CHECK)</t>
  </si>
  <si>
    <t xml:space="preserve">UPDATE t SET tenant_id='B' WHERE id=...</t>
  </si>
  <si>
    <t xml:space="preserve">Bị chặn bởi quyền cột và WITH CHECK</t>
  </si>
  <si>
    <t xml:space="preserve">TC-APP-04</t>
  </si>
  <si>
    <t xml:space="preserve">INSERT với tenant_id của tenant khác</t>
  </si>
  <si>
    <t xml:space="preserve">INSERT (tenant_id='B', ...) khi context là A</t>
  </si>
  <si>
    <t xml:space="preserve">Vi phạm WITH CHECK, báo lỗi</t>
  </si>
  <si>
    <t xml:space="preserve">TC-APP-05</t>
  </si>
  <si>
    <t xml:space="preserve">Lỗi unique/FK làm lộ dòng của tenant khác</t>
  </si>
  <si>
    <t xml:space="preserve">INSERT giá trị trùng với dòng của B</t>
  </si>
  <si>
    <t xml:space="preserve">Không báo trùng với B (unique gồm tenant_id); lỗi không chứa giá trị của B</t>
  </si>
  <si>
    <t xml:space="preserve">TC-APP-06</t>
  </si>
  <si>
    <t xml:space="preserve">View không security_invoker bỏ qua RLS</t>
  </si>
  <si>
    <t xml:space="preserve">SELECT qua mọi view bằng app_user</t>
  </si>
  <si>
    <t xml:space="preserve">Chỉ thấy dữ liệu tenant hiện tại (security_invoker = true)</t>
  </si>
  <si>
    <t xml:space="preserve">TC-APP-07</t>
  </si>
  <si>
    <t xml:space="preserve">Materialized view chứa dữ liệu mọi tenant</t>
  </si>
  <si>
    <t xml:space="preserve">Kiểm tra danh sách matview; app_user SELECT</t>
  </si>
  <si>
    <t xml:space="preserve">Không có matview chứa dữ liệu chéo tenant cho app_user</t>
  </si>
  <si>
    <t xml:space="preserve">TC-APP-08</t>
  </si>
  <si>
    <t xml:space="preserve">Function SECURITY DEFINER bỏ qua RLS</t>
  </si>
  <si>
    <t xml:space="preserve">Liệt kê pg_proc.prosecdef; gọi bằng app_user</t>
  </si>
  <si>
    <t xml:space="preserve">Không có hàm DEFINER cho app_user, hoặc hàm tự lọc tenant; EXECUTE đã REVOKE khỏi PUBLIC</t>
  </si>
  <si>
    <t xml:space="preserve">TC-APP-09</t>
  </si>
  <si>
    <t xml:space="preserve">Hàm/toán tử không leakproof trong WHERE lộ giá trị qua lỗi</t>
  </si>
  <si>
    <t xml:space="preserve">WHERE 1/(x-giá_trị_dò)=1 hoặc ép kiểu lỗi trên cột nhạy cảm</t>
  </si>
  <si>
    <t xml:space="preserve">Lỗi không in ra giá trị dòng của tenant khác</t>
  </si>
  <si>
    <t xml:space="preserve">TC-APP-10</t>
  </si>
  <si>
    <t xml:space="preserve">Đọc catalog (pg_stats, pg_stat_statements, pg_class...) lộ thông tin tenant khác</t>
  </si>
  <si>
    <t xml:space="preserve">SELECT các view này bằng app_user</t>
  </si>
  <si>
    <t xml:space="preserve">Không thấy câu lệnh/giá trị của tenant khác</t>
  </si>
  <si>
    <t xml:space="preserve">TC-APP-11</t>
  </si>
  <si>
    <t xml:space="preserve">EXPLAIN [ANALYZE] ở dev lộ số dòng</t>
  </si>
  <si>
    <t xml:space="preserve">EXPLAIN ANALYZE bằng app_user trên dev</t>
  </si>
  <si>
    <t xml:space="preserve">Chỉ cho phép ở dev; prod bị chặn</t>
  </si>
  <si>
    <t xml:space="preserve">TC-APP-12</t>
  </si>
  <si>
    <t xml:space="preserve">Sequence lộ tổng số dòng và đoán được ID</t>
  </si>
  <si>
    <t xml:space="preserve">Tạo bản ghi liên tiếp ở 2 tenant xen kẽ; quan sát ID</t>
  </si>
  <si>
    <t xml:space="preserve">ID không tuần tự toàn cục (dùng UUID) hoặc chấp nhận có rủi ro đã ghi nhận</t>
  </si>
  <si>
    <t xml:space="preserve">TC-APP-13</t>
  </si>
  <si>
    <t xml:space="preserve">SELECT ... FOR UPDATE bị chặn bởi khóa tenant khác</t>
  </si>
  <si>
    <t xml:space="preserve">A giữ khóa dòng; B truy vấn FOR UPDATE</t>
  </si>
  <si>
    <t xml:space="preserve">RLS làm B không thấy dòng của A, không bị chờ</t>
  </si>
  <si>
    <t xml:space="preserve">TC-APP-14</t>
  </si>
  <si>
    <t xml:space="preserve">COPY đọc/ghi file server</t>
  </si>
  <si>
    <t xml:space="preserve">COPY ... TO '/tmp/x'</t>
  </si>
  <si>
    <t xml:space="preserve">TC-APP-15</t>
  </si>
  <si>
    <t xml:space="preserve">LISTEN/NOTIFY nghe được thông báo tenant khác</t>
  </si>
  <si>
    <t xml:space="preserve">A NOTIFY kênh chung; B LISTEN</t>
  </si>
  <si>
    <t xml:space="preserve">Kênh tách theo tenant hoặc không dùng; B không nhận</t>
  </si>
  <si>
    <t xml:space="preserve">TC-APP-16</t>
  </si>
  <si>
    <t xml:space="preserve">CREATE TEMP TABLE sót trong pool</t>
  </si>
  <si>
    <t xml:space="preserve">A tạo bảng tạm; B dùng lại kết nối</t>
  </si>
  <si>
    <t xml:space="preserve">Không có quyền TEMP / pool dọn sạch (DISCARD ALL)</t>
  </si>
  <si>
    <t xml:space="preserve">TC-APP-17</t>
  </si>
  <si>
    <t xml:space="preserve">Prepared statement sót khi dùng chung kết nối</t>
  </si>
  <si>
    <t xml:space="preserve">A PREPARE; B EXECUTE cùng tên</t>
  </si>
  <si>
    <t xml:space="preserve">Không chạy được; pool dọn bằng DISCARD ALL</t>
  </si>
  <si>
    <t xml:space="preserve">TC-APP-18</t>
  </si>
  <si>
    <t xml:space="preserve">Quên SET LOCAL ngay đầu transaction</t>
  </si>
  <si>
    <t xml:space="preserve">Chạy transaction mà câu lệnh đầu chưa đặt tenant</t>
  </si>
  <si>
    <t xml:space="preserve">Trả 0 dòng/lỗi, không chạy với tenant cũ</t>
  </si>
  <si>
    <t xml:space="preserve">TC-MIG-01</t>
  </si>
  <si>
    <t xml:space="preserve">Policy mới có đủ USING và WITH CHECK, cho mọi loại lệnh</t>
  </si>
  <si>
    <t xml:space="preserve">Review/kiểm tự động pg_policies sau migration</t>
  </si>
  <si>
    <t xml:space="preserve">Mỗi bảng có policy SELECT/INSERT/UPDATE/DELETE với WITH CHECK đúng</t>
  </si>
  <si>
    <t xml:space="preserve">TC-MIG-02</t>
  </si>
  <si>
    <t xml:space="preserve">Không có migration DISABLE ROW LEVEL SECURITY</t>
  </si>
  <si>
    <t xml:space="preserve">Quét migration và so sánh relrowsecurity sau triển khai</t>
  </si>
  <si>
    <t xml:space="preserve">Mọi bảng nghiệp vụ vẫn bật RLS</t>
  </si>
  <si>
    <t xml:space="preserve">TC-MIG-03</t>
  </si>
  <si>
    <t xml:space="preserve">Không có migration NO FORCE ROW LEVEL SECURITY</t>
  </si>
  <si>
    <t xml:space="preserve">Quét migration và so sánh relforcerowsecurity</t>
  </si>
  <si>
    <t xml:space="preserve">Mọi bảng vẫn FORCE</t>
  </si>
  <si>
    <t xml:space="preserve">TC-MIG-04</t>
  </si>
  <si>
    <t xml:space="preserve">Bảng mới có đủ tenant_id, ENABLE/FORCE RLS và policy</t>
  </si>
  <si>
    <t xml:space="preserve">CI kiểm tra mọi bảng trong schema ứng dụng</t>
  </si>
  <si>
    <t xml:space="preserve">Pipeline fail nếu thiếu</t>
  </si>
  <si>
    <t xml:space="preserve">TC-MIG-05</t>
  </si>
  <si>
    <t xml:space="preserve">View mới có security_invoker = true</t>
  </si>
  <si>
    <t xml:space="preserve">CI quét pg_class/reloptions của view</t>
  </si>
  <si>
    <t xml:space="preserve">Fail nếu thiếu</t>
  </si>
  <si>
    <t xml:space="preserve">TC-MIG-06</t>
  </si>
  <si>
    <t xml:space="preserve">Không tạo materialized view chứa dữ liệu mọi tenant</t>
  </si>
  <si>
    <t xml:space="preserve">CI quét relkind = 'm'</t>
  </si>
  <si>
    <t xml:space="preserve">Không có hoặc đã được phê duyệt</t>
  </si>
  <si>
    <t xml:space="preserve">TC-MIG-07</t>
  </si>
  <si>
    <t xml:space="preserve">Function mới không dùng SECURITY DEFINER (hoặc đã phê duyệt)</t>
  </si>
  <si>
    <t xml:space="preserve">CI quét prosecdef = true</t>
  </si>
  <si>
    <t xml:space="preserve">Fail nếu có ngoài danh sách cho phép</t>
  </si>
  <si>
    <t xml:space="preserve">TC-MIG-08</t>
  </si>
  <si>
    <t xml:space="preserve">Trigger mới không đọc/ghi chéo tenant hay đổi tenant_id</t>
  </si>
  <si>
    <t xml:space="preserve">Review trigger; test với 2 tenant</t>
  </si>
  <si>
    <t xml:space="preserve">Chỉ tác động tenant của dòng</t>
  </si>
  <si>
    <t xml:space="preserve">TC-MIG-09</t>
  </si>
  <si>
    <t xml:space="preserve">Unique index/constraint gồm tenant_id</t>
  </si>
  <si>
    <t xml:space="preserve">CI quét pg_index</t>
  </si>
  <si>
    <t xml:space="preserve">Mọi unique có tenant_id (trừ bảng dùng chung)</t>
  </si>
  <si>
    <t xml:space="preserve">TC-MIG-10</t>
  </si>
  <si>
    <t xml:space="preserve">Foreign key là FK kép (tenant_id, ...)</t>
  </si>
  <si>
    <t xml:space="preserve">CI quét pg_constraint</t>
  </si>
  <si>
    <t xml:space="preserve">Mọi FK nghiệp vụ gồm tenant_id</t>
  </si>
  <si>
    <t xml:space="preserve">TC-MIG-11</t>
  </si>
  <si>
    <t xml:space="preserve">ALTER/DROP COLUMN không làm mất tenant_id</t>
  </si>
  <si>
    <t xml:space="preserve">Chạy migration thử; kiểm tra policy phụ thuộc</t>
  </si>
  <si>
    <t xml:space="preserve">Bị chặn hoặc fail CI</t>
  </si>
  <si>
    <t xml:space="preserve">TC-MIG-12</t>
  </si>
  <si>
    <t xml:space="preserve">ALTER TABLE ... OWNER TO không đổi owner khác app_owner</t>
  </si>
  <si>
    <t xml:space="preserve">Quét owner sau migration</t>
  </si>
  <si>
    <t xml:space="preserve">Owner luôn là app_owner</t>
  </si>
  <si>
    <t xml:space="preserve">TC-MIG-13</t>
  </si>
  <si>
    <t xml:space="preserve">GRANT trong migration không quá rộng</t>
  </si>
  <si>
    <t xml:space="preserve">Diff quyền trước/sau migration</t>
  </si>
  <si>
    <t xml:space="preserve">Không cấp TRUNCATE, cột tenant_id, pg_read_all_data...</t>
  </si>
  <si>
    <t xml:space="preserve">TC-MIG-14</t>
  </si>
  <si>
    <t xml:space="preserve">Không có GRANT app_owner TO app_user</t>
  </si>
  <si>
    <t xml:space="preserve">Quét pg_auth_members sau migration</t>
  </si>
  <si>
    <t xml:space="preserve">TC-MIG-15</t>
  </si>
  <si>
    <t xml:space="preserve">CREATE SCHEMA/EXTENSION/SEQUENCE trong migration có kiểm soát</t>
  </si>
  <si>
    <t xml:space="preserve">Quét migration; kiểm tra quyền mặc định</t>
  </si>
  <si>
    <t xml:space="preserve">Có phê duyệt; quyền không mở cho PUBLIC</t>
  </si>
  <si>
    <t xml:space="preserve">TC-MIG-16</t>
  </si>
  <si>
    <t xml:space="preserve">Data migration đặt đúng app.tenant_id hoặc xử lý từng tenant</t>
  </si>
  <si>
    <t xml:space="preserve">Chạy data migration trên dữ liệu 2 tenant</t>
  </si>
  <si>
    <t xml:space="preserve">Không sửa/nhập nhầm tenant khác; không phải tắt RLS</t>
  </si>
  <si>
    <t xml:space="preserve">TC-MIG-17</t>
  </si>
  <si>
    <t xml:space="preserve">SET ROLE / SET SESSION AUTHORIZATION trong migration không nâng quyền</t>
  </si>
  <si>
    <t xml:space="preserve">Thử SET ROLE postgres bằng app_migrator</t>
  </si>
  <si>
    <t xml:space="preserve">TC-MIG-18</t>
  </si>
  <si>
    <t xml:space="preserve">Log migration/CI không chứa giá trị dữ liệu tenant</t>
  </si>
  <si>
    <t xml:space="preserve">Chạy migration lỗi; xem log CI</t>
  </si>
  <si>
    <t xml:space="preserve">Log không có giá trị nghiệp vụ</t>
  </si>
  <si>
    <t xml:space="preserve">TC-OBJ-01</t>
  </si>
  <si>
    <t xml:space="preserve">Bảng mới đã bật RLS nhưng chưa có policy</t>
  </si>
  <si>
    <t xml:space="preserve">SELECT bằng app_user</t>
  </si>
  <si>
    <t xml:space="preserve">Chặn hết (0 dòng)</t>
  </si>
  <si>
    <t xml:space="preserve">TC-OBJ-02</t>
  </si>
  <si>
    <t xml:space="preserve">Bảng mới chưa bật RLS</t>
  </si>
  <si>
    <t xml:space="preserve">CI phát hiện bảng chưa bật RLS</t>
  </si>
  <si>
    <t xml:space="preserve">Fail pipeline</t>
  </si>
  <si>
    <t xml:space="preserve">TC-OBJ-03</t>
  </si>
  <si>
    <t xml:space="preserve">Bảng mới có quyền mặc định đúng (không quyền thừa cho app_user/PUBLIC)</t>
  </si>
  <si>
    <t xml:space="preserve">Xem ACL bảng mới</t>
  </si>
  <si>
    <t xml:space="preserve">Đúng quyền hẹp</t>
  </si>
  <si>
    <t xml:space="preserve">TC-OBJ-04</t>
  </si>
  <si>
    <t xml:space="preserve">Partition con không bị truy cập trực tiếp bỏ qua RLS cha</t>
  </si>
  <si>
    <t xml:space="preserve">SELECT trực tiếp partition con bằng app_user</t>
  </si>
  <si>
    <t xml:space="preserve">Có RLS riêng hoặc không cấp quyền trực tiếp</t>
  </si>
  <si>
    <t xml:space="preserve">TC-OBJ-05</t>
  </si>
  <si>
    <t xml:space="preserve">Bảng INHERITS không bỏ qua RLS</t>
  </si>
  <si>
    <t xml:space="preserve">SELECT trực tiếp bảng con</t>
  </si>
  <si>
    <t xml:space="preserve">Có RLS riêng hoặc bị từ chối</t>
  </si>
  <si>
    <t xml:space="preserve">TC-OBJ-06</t>
  </si>
  <si>
    <t xml:space="preserve">Cột mới nhạy cảm được kiểm soát bởi GRANT cột và policy bao phủ</t>
  </si>
  <si>
    <t xml:space="preserve">Thêm cột mới; kiểm tra quyền</t>
  </si>
  <si>
    <t xml:space="preserve">Không lộ cột ngoài phạm vi tenant</t>
  </si>
  <si>
    <t xml:space="preserve">TC-OBJ-07</t>
  </si>
  <si>
    <t xml:space="preserve">Policy PERMISSIVE mới không nới lỏng policy cũ (cộng OR)</t>
  </si>
  <si>
    <t xml:space="preserve">Thêm policy mới; chạy bộ test 2 tenant</t>
  </si>
  <si>
    <t xml:space="preserve">Không có dòng lộ thêm</t>
  </si>
  <si>
    <t xml:space="preserve">TC-OBJ-08</t>
  </si>
  <si>
    <t xml:space="preserve">Role mới / thành viên role mới không có BYPASSRLS/SUPERUSER</t>
  </si>
  <si>
    <t xml:space="preserve">Quét rolbypassrls/rolsuper và pg_auth_members</t>
  </si>
  <si>
    <t xml:space="preserve">Không có ngoài danh sách cho phép</t>
  </si>
  <si>
    <t xml:space="preserve">TC-OBJ-09</t>
  </si>
  <si>
    <t xml:space="preserve">Kênh LISTEN/NOTIFY mới tách theo tenant</t>
  </si>
  <si>
    <t xml:space="preserve">Review tên kênh</t>
  </si>
  <si>
    <t xml:space="preserve">Tên kênh gồm tenant</t>
  </si>
  <si>
    <t xml:space="preserve">TC-OBJ-10</t>
  </si>
  <si>
    <t xml:space="preserve">Publication / replication slot mới được phê duyệt</t>
  </si>
  <si>
    <t xml:space="preserve">Quét pg_publication, pg_replication_slots</t>
  </si>
  <si>
    <t xml:space="preserve">Không có slot/publication lạ</t>
  </si>
  <si>
    <t xml:space="preserve">TC-OBJ-11</t>
  </si>
  <si>
    <t xml:space="preserve">Foreign table / FDW mới không lộ dữ liệu và mật khẩu</t>
  </si>
  <si>
    <t xml:space="preserve">Quét pg_foreign_table, user mapping</t>
  </si>
  <si>
    <t xml:space="preserve">Không có hoặc đã kiểm soát</t>
  </si>
  <si>
    <t xml:space="preserve">TC-OBJ-12</t>
  </si>
  <si>
    <t xml:space="preserve">Extension mới được kiểm duyệt</t>
  </si>
  <si>
    <t xml:space="preserve">Quét pg_extension</t>
  </si>
  <si>
    <t xml:space="preserve">Chỉ extension trong danh sách cho phép</t>
  </si>
  <si>
    <t xml:space="preserve">TC-CLU-01</t>
  </si>
  <si>
    <t xml:space="preserve">pg_hba.conf: phạm vi IP của postgres/app_migrator</t>
  </si>
  <si>
    <t xml:space="preserve">Kết nối từ mạng ứng dụng và 0.0.0.0/0</t>
  </si>
  <si>
    <t xml:space="preserve">Bị từ chối; chỉ mạng quản trị/CI</t>
  </si>
  <si>
    <t xml:space="preserve">TC-CLU-02</t>
  </si>
  <si>
    <t xml:space="preserve">pg_hba.conf: không dùng trust/md5/password</t>
  </si>
  <si>
    <t xml:space="preserve">Quét pg_hba_file_rules</t>
  </si>
  <si>
    <t xml:space="preserve">TC-CLU-03</t>
  </si>
  <si>
    <t xml:space="preserve">pg_hba.conf: thứ tự dòng không để dòng rộng đứng trước</t>
  </si>
  <si>
    <t xml:space="preserve">Xem pg_hba_file_rules theo line_number</t>
  </si>
  <si>
    <t xml:space="preserve">Dòng hẹp đứng trước dòng rộng</t>
  </si>
  <si>
    <t xml:space="preserve">TC-CLU-04</t>
  </si>
  <si>
    <t xml:space="preserve">pg_hba.conf: không dùng database/role 'all' tùy tiện</t>
  </si>
  <si>
    <t xml:space="preserve">app_user kết nối vào database khác</t>
  </si>
  <si>
    <t xml:space="preserve">Bị từ chối</t>
  </si>
  <si>
    <t xml:space="preserve">TC-CLU-05</t>
  </si>
  <si>
    <t xml:space="preserve">SSL/TLS bật bắt buộc</t>
  </si>
  <si>
    <t xml:space="preserve">Kết nối sslmode=disable</t>
  </si>
  <si>
    <t xml:space="preserve">TC-CLU-06</t>
  </si>
  <si>
    <t xml:space="preserve">password_encryption = scram-sha-256</t>
  </si>
  <si>
    <t xml:space="preserve">SHOW password_encryption</t>
  </si>
  <si>
    <t xml:space="preserve">scram-sha-256</t>
  </si>
  <si>
    <t xml:space="preserve">TC-CLU-07</t>
  </si>
  <si>
    <t xml:space="preserve">listen_addresses không mở thừa interface</t>
  </si>
  <si>
    <t xml:space="preserve">SHOW listen_addresses; quét cổng</t>
  </si>
  <si>
    <t xml:space="preserve">Chỉ interface dự kiến</t>
  </si>
  <si>
    <t xml:space="preserve">TC-CLU-08</t>
  </si>
  <si>
    <t xml:space="preserve">log_statement / log_min_duration_statement / log_parameter_max_length không ghi tham số tenant</t>
  </si>
  <si>
    <t xml:space="preserve">SHOW; chạy truy vấn có giá trị nhạy cảm, xem log</t>
  </si>
  <si>
    <t xml:space="preserve">Log không chứa giá trị tham số</t>
  </si>
  <si>
    <t xml:space="preserve">TC-CLU-09</t>
  </si>
  <si>
    <t xml:space="preserve">log_min_error_statement / log_error_verbosity không lộ dữ liệu</t>
  </si>
  <si>
    <t xml:space="preserve">Gây lỗi, xem log</t>
  </si>
  <si>
    <t xml:space="preserve">Log không chứa giá trị dòng</t>
  </si>
  <si>
    <t xml:space="preserve">TC-CLU-10</t>
  </si>
  <si>
    <t xml:space="preserve">log_connections và log_line_prefix đủ thông tin truy vết (role, db, IP)</t>
  </si>
  <si>
    <t xml:space="preserve">Kết nối rồi xem log</t>
  </si>
  <si>
    <t xml:space="preserve">Có role, database, IP</t>
  </si>
  <si>
    <t xml:space="preserve">TC-CLU-11</t>
  </si>
  <si>
    <t xml:space="preserve">shared_preload_libraries / auto_explain / pg_stat_statements kiểm soát</t>
  </si>
  <si>
    <t xml:space="preserve">SHOW các tham số; app_user đọc pg_stat_statements</t>
  </si>
  <si>
    <t xml:space="preserve">Không lộ nội dung cho app_user; auto_explain không ghi tham số</t>
  </si>
  <si>
    <t xml:space="preserve">TC-CLU-12</t>
  </si>
  <si>
    <t xml:space="preserve">row_security không bị tắt ở cấp cluster/role</t>
  </si>
  <si>
    <t xml:space="preserve">SHOW row_security; pg_db_role_setting</t>
  </si>
  <si>
    <t xml:space="preserve">on</t>
  </si>
  <si>
    <t xml:space="preserve">TC-CLU-13</t>
  </si>
  <si>
    <t xml:space="preserve">session/local_preload_libraries, allow_system_table_mutations, allow_alter_system bị khóa</t>
  </si>
  <si>
    <t xml:space="preserve">SHOW; thử ALTER SYSTEM bằng app_user</t>
  </si>
  <si>
    <t xml:space="preserve">Không dùng được</t>
  </si>
  <si>
    <t xml:space="preserve">TC-CLU-14</t>
  </si>
  <si>
    <t xml:space="preserve">max_prepared_transactions = 0</t>
  </si>
  <si>
    <t xml:space="preserve">SHOW max_prepared_transactions</t>
  </si>
  <si>
    <t xml:space="preserve">0</t>
  </si>
  <si>
    <t xml:space="preserve">TC-CLU-15</t>
  </si>
  <si>
    <t xml:space="preserve">max_connections và superuser_reserved_connections hợp lý</t>
  </si>
  <si>
    <t xml:space="preserve">Mở hết kết nối bằng app_user, thử đăng nhập quản trị</t>
  </si>
  <si>
    <t xml:space="preserve">Quản trị vẫn kết nối được bằng kết nối dự phòng</t>
  </si>
  <si>
    <t xml:space="preserve">TC-CLU-16</t>
  </si>
  <si>
    <t xml:space="preserve">search_path mặc định không chứa schema không tin cậy</t>
  </si>
  <si>
    <t xml:space="preserve">SHOW search_path bằng app_user</t>
  </si>
  <si>
    <t xml:space="preserve">Không có public ghi được; schema tường minh</t>
  </si>
  <si>
    <t xml:space="preserve">TC-CLU-17</t>
  </si>
  <si>
    <t xml:space="preserve">wal_level, archive_mode, archive_command, WAL senders/slots hợp lý</t>
  </si>
  <si>
    <t xml:space="preserve">SHOW; kiểm tra đích lưu trữ</t>
  </si>
  <si>
    <t xml:space="preserve">Đích mã hóa, quyền hẹp</t>
  </si>
  <si>
    <t xml:space="preserve">TC-CLU-18</t>
  </si>
  <si>
    <t xml:space="preserve">Quyền data_directory và unix_socket_permissions hẹp</t>
  </si>
  <si>
    <t xml:space="preserve">ls -l trên máy chủ</t>
  </si>
  <si>
    <t xml:space="preserve">Chỉ user postgres</t>
  </si>
  <si>
    <t xml:space="preserve">TC-CLU-19</t>
  </si>
  <si>
    <t xml:space="preserve">Trusted extension không cài được bởi role ứng dụng</t>
  </si>
  <si>
    <t xml:space="preserve">CREATE EXTENSION bằng app_user</t>
  </si>
  <si>
    <t xml:space="preserve">TC-CLU-20</t>
  </si>
  <si>
    <t xml:space="preserve">Quyền mặc định PUBLIC; DB nâng cấp từ bản cũ</t>
  </si>
  <si>
    <t xml:space="preserve">Kiểm tra CREATE trên schema public</t>
  </si>
  <si>
    <t xml:space="preserve">PUBLIC không có CREATE</t>
  </si>
  <si>
    <t xml:space="preserve">TC-CLU-21</t>
  </si>
  <si>
    <t xml:space="preserve">template1 sạch quyền/đối tượng lạ</t>
  </si>
  <si>
    <t xml:space="preserve">Quét template1</t>
  </si>
  <si>
    <t xml:space="preserve">Không có đối tượng/quyền thừa</t>
  </si>
  <si>
    <t xml:space="preserve">TC-CLU-22</t>
  </si>
  <si>
    <t xml:space="preserve">Cấu hình dịch vụ managed (rds_superuser, snapshot tự động, console)</t>
  </si>
  <si>
    <t xml:space="preserve">Rà soát IAM/console/parameter group</t>
  </si>
  <si>
    <t xml:space="preserve">Quyền tối thiểu; snapshot mã hóa</t>
  </si>
  <si>
    <t xml:space="preserve">TC-GRT-01</t>
  </si>
  <si>
    <t xml:space="preserve">Phát hiện app_user/app_migrator bị gán SUPERUSER hoặc BYPASSRLS</t>
  </si>
  <si>
    <t xml:space="preserve">Job kiểm tra định kỳ pg_roles so với baseline</t>
  </si>
  <si>
    <t xml:space="preserve">Cảnh báo ngay khi lệch</t>
  </si>
  <si>
    <t xml:space="preserve">TC-GRT-02</t>
  </si>
  <si>
    <t xml:space="preserve">app_owner bị đổi thành LOGIN hoặc đặt mật khẩu</t>
  </si>
  <si>
    <t xml:space="preserve">Quét rolcanlogin/rolpassword</t>
  </si>
  <si>
    <t xml:space="preserve">Cảnh báo</t>
  </si>
  <si>
    <t xml:space="preserve">TC-GRT-03</t>
  </si>
  <si>
    <t xml:space="preserve">CREATEROLE/CREATEDB/REPLICATION bị bật cho role ứng dụng</t>
  </si>
  <si>
    <t xml:space="preserve">Quét pg_roles</t>
  </si>
  <si>
    <t xml:space="preserve">TC-GRT-04</t>
  </si>
  <si>
    <t xml:space="preserve">ALTER ROLE ... SET bị đổi (row_security=off, search_path lạ, session_replication_role=replica)</t>
  </si>
  <si>
    <t xml:space="preserve">Quét pg_db_role_setting</t>
  </si>
  <si>
    <t xml:space="preserve">Không có giá trị lệch baseline</t>
  </si>
  <si>
    <t xml:space="preserve">TC-GRT-05</t>
  </si>
  <si>
    <t xml:space="preserve">session_replication_role = replica vô hiệu hóa trigger/FK</t>
  </si>
  <si>
    <t xml:space="preserve">Thử SET session_replication_role bằng app_user</t>
  </si>
  <si>
    <t xml:space="preserve">TC-GRT-06</t>
  </si>
  <si>
    <t xml:space="preserve">app_user bị GRANT thành viên role mạnh (kể cả WITH SET/INHERIT, PG16+)</t>
  </si>
  <si>
    <t xml:space="preserve">Quét pg_auth_members (set_option, inherit_option)</t>
  </si>
  <si>
    <t xml:space="preserve">TC-GRT-07</t>
  </si>
  <si>
    <t xml:space="preserve">GRANT TRUNCATE/REFERENCES/TRIGGER, WITH GRANT OPTION cho app_user</t>
  </si>
  <si>
    <t xml:space="preserve">Quét role_table_grants</t>
  </si>
  <si>
    <t xml:space="preserve">TC-GRT-08</t>
  </si>
  <si>
    <t xml:space="preserve">GRANT UPDATE toàn bảng thay vì theo cột</t>
  </si>
  <si>
    <t xml:space="preserve">Quét column privileges</t>
  </si>
  <si>
    <t xml:space="preserve">Chỉ cột được phép, không có tenant_id</t>
  </si>
  <si>
    <t xml:space="preserve">TC-GRT-09</t>
  </si>
  <si>
    <t xml:space="preserve">Quyền cấp cho PUBLIC (SELECT bảng, EXECUTE function)</t>
  </si>
  <si>
    <t xml:space="preserve">Quét ACL có grantee = PUBLIC</t>
  </si>
  <si>
    <t xml:space="preserve">TC-GRT-10</t>
  </si>
  <si>
    <t xml:space="preserve">EXECUTE hàm SECURITY DEFINER còn cho PUBLIC</t>
  </si>
  <si>
    <t xml:space="preserve">Quét proacl của hàm DEFINER</t>
  </si>
  <si>
    <t xml:space="preserve">Đã REVOKE khỏi PUBLIC</t>
  </si>
  <si>
    <t xml:space="preserve">TC-GRT-11</t>
  </si>
  <si>
    <t xml:space="preserve">GRANT CREATE ON SCHEMA/DATABASE cho app_user</t>
  </si>
  <si>
    <t xml:space="preserve">Quét has_schema_privilege/has_database_privilege</t>
  </si>
  <si>
    <t xml:space="preserve">false</t>
  </si>
  <si>
    <t xml:space="preserve">TC-GRT-12</t>
  </si>
  <si>
    <t xml:space="preserve">GRANT CONNECT lên database khác</t>
  </si>
  <si>
    <t xml:space="preserve">app_user kết nối database khác</t>
  </si>
  <si>
    <t xml:space="preserve">TC-GRT-13</t>
  </si>
  <si>
    <t xml:space="preserve">Đối tượng đổi owner hoặc do postgres/app_user tạo</t>
  </si>
  <si>
    <t xml:space="preserve">Quét owner khác app_owner</t>
  </si>
  <si>
    <t xml:space="preserve">TC-GRT-14</t>
  </si>
  <si>
    <t xml:space="preserve">USAGE/UPDATE trên sequence cấp dùng chung</t>
  </si>
  <si>
    <t xml:space="preserve">setval/currval bằng app_user</t>
  </si>
  <si>
    <t xml:space="preserve">Không setval được; USAGE đúng phạm vi</t>
  </si>
  <si>
    <t xml:space="preserve">TC-GRT-15</t>
  </si>
  <si>
    <t xml:space="preserve">Thay đổi thủ công/console ngoài pipeline</t>
  </si>
  <si>
    <t xml:space="preserve">So sánh trạng thái thực với code (drift detection)</t>
  </si>
  <si>
    <t xml:space="preserve">Phát hiện và cảnh báo</t>
  </si>
  <si>
    <t xml:space="preserve">TC-CON-01</t>
  </si>
  <si>
    <t xml:space="preserve">app.tenant_id không rò giữa các request (SET LOCAL)</t>
  </si>
  <si>
    <t xml:space="preserve">Chạy 2 request A, B liên tiếp trên cùng kết nối</t>
  </si>
  <si>
    <t xml:space="preserve">Mỗi request đúng tenant của mình</t>
  </si>
  <si>
    <t xml:space="preserve">TC-CON-02</t>
  </si>
  <si>
    <t xml:space="preserve">Request thiếu tenant_id</t>
  </si>
  <si>
    <t xml:space="preserve">Gửi request không đặt tenant</t>
  </si>
  <si>
    <t xml:space="preserve">Không có dòng/lỗi rõ ràng, không dùng giá trị cũ</t>
  </si>
  <si>
    <t xml:space="preserve">TC-CON-03</t>
  </si>
  <si>
    <t xml:space="preserve">PgBouncer chế độ transaction: SET và truy vấn cùng transaction</t>
  </si>
  <si>
    <t xml:space="preserve">Chạy SET LOCAL và truy vấn trong một transaction qua PgBouncer</t>
  </si>
  <si>
    <t xml:space="preserve">Đúng tenant</t>
  </si>
  <si>
    <t xml:space="preserve">TC-CON-04</t>
  </si>
  <si>
    <t xml:space="preserve">COMMIT sớm sau SET LOCAL trong cùng request</t>
  </si>
  <si>
    <t xml:space="preserve">Kiểm tra luồng code nhiều transaction trong 1 request</t>
  </si>
  <si>
    <t xml:space="preserve">Mỗi transaction đều đặt lại tenant</t>
  </si>
  <si>
    <t xml:space="preserve">TC-CON-05</t>
  </si>
  <si>
    <t xml:space="preserve">SET ROLE / SESSION AUTHORIZATION sót</t>
  </si>
  <si>
    <t xml:space="preserve">Request A đổi role; request B dùng lại</t>
  </si>
  <si>
    <t xml:space="preserve">Role về mặc định (RESET/DISCARD ALL)</t>
  </si>
  <si>
    <t xml:space="preserve">TC-CON-06</t>
  </si>
  <si>
    <t xml:space="preserve">Tham số phiên (search_path, row_security, session_replication_role, statement_timeout) sót</t>
  </si>
  <si>
    <t xml:space="preserve">A đổi tham số; B kiểm tra SHOW</t>
  </si>
  <si>
    <t xml:space="preserve">Về giá trị mặc định</t>
  </si>
  <si>
    <t xml:space="preserve">TC-CON-07</t>
  </si>
  <si>
    <t xml:space="preserve">Bảng tạm sót / che bảng thật</t>
  </si>
  <si>
    <t xml:space="preserve">A tạo temp table trùng tên bảng thật</t>
  </si>
  <si>
    <t xml:space="preserve">Không tạo được; hoặc bị dọn</t>
  </si>
  <si>
    <t xml:space="preserve">TC-CON-08</t>
  </si>
  <si>
    <t xml:space="preserve">Prepared statement trùng tên / generic plan sai tenant</t>
  </si>
  <si>
    <t xml:space="preserve">A, B PREPARE cùng tên; chạy generic plan</t>
  </si>
  <si>
    <t xml:space="preserve">Không chạy nhầm tenant</t>
  </si>
  <si>
    <t xml:space="preserve">TC-CON-09</t>
  </si>
  <si>
    <t xml:space="preserve">Cursor WITH HOLD sót</t>
  </si>
  <si>
    <t xml:space="preserve">A DECLARE CURSOR WITH HOLD; B dùng lại</t>
  </si>
  <si>
    <t xml:space="preserve">Cursor bị đóng khi trả kết nối</t>
  </si>
  <si>
    <t xml:space="preserve">TC-CON-10</t>
  </si>
  <si>
    <t xml:space="preserve">LISTEN còn đăng ký khi trả kết nối</t>
  </si>
  <si>
    <t xml:space="preserve">A LISTEN; trả pool; B nhận NOTIFY</t>
  </si>
  <si>
    <t xml:space="preserve">UNLISTEN/DISCARD ALL khi trả kết nối</t>
  </si>
  <si>
    <t xml:space="preserve">TC-CON-11</t>
  </si>
  <si>
    <t xml:space="preserve">Advisory lock mức phiên sót</t>
  </si>
  <si>
    <t xml:space="preserve">A pg_advisory_lock không unlock; B lấy khóa</t>
  </si>
  <si>
    <t xml:space="preserve">Khóa được giải phóng khi trả kết nối</t>
  </si>
  <si>
    <t xml:space="preserve">TC-CON-12</t>
  </si>
  <si>
    <t xml:space="preserve">lastval()/currval() trả giá trị của request trước</t>
  </si>
  <si>
    <t xml:space="preserve">A INSERT; B gọi lastval()</t>
  </si>
  <si>
    <t xml:space="preserve">Lỗi hoặc không lộ ID của A</t>
  </si>
  <si>
    <t xml:space="preserve">TC-CON-13</t>
  </si>
  <si>
    <t xml:space="preserve">Transaction idle in transaction còn giữ SET LOCAL/snapshot</t>
  </si>
  <si>
    <t xml:space="preserve">Treo transaction rồi trả kết nối</t>
  </si>
  <si>
    <t xml:space="preserve">Pool ROLLBACK; có idle_in_transaction_session_timeout</t>
  </si>
  <si>
    <t xml:space="preserve">TC-CON-14</t>
  </si>
  <si>
    <t xml:space="preserve">Biến tùy chỉnh khác (app.user_id, app.role) sót</t>
  </si>
  <si>
    <t xml:space="preserve">A đặt app.user_id; B kiểm tra current_setting</t>
  </si>
  <si>
    <t xml:space="preserve">Rỗng/được đặt lại</t>
  </si>
  <si>
    <t xml:space="preserve">TC-CON-15</t>
  </si>
  <si>
    <t xml:space="preserve">Transaction aborted không ROLLBACK</t>
  </si>
  <si>
    <t xml:space="preserve">Gây lỗi trong transaction rồi trả kết nối</t>
  </si>
  <si>
    <t xml:space="preserve">Pool tự ROLLBACK; request sau chạy bình thường</t>
  </si>
  <si>
    <t xml:space="preserve">TC-CON-16</t>
  </si>
  <si>
    <t xml:space="preserve">Request bị hủy/timeout giữa chừng</t>
  </si>
  <si>
    <t xml:space="preserve">Hủy request khi đang chạy truy vấn</t>
  </si>
  <si>
    <t xml:space="preserve">Truy vấn bị hủy, kết nối được làm sạch trước khi tái sử dụng</t>
  </si>
  <si>
    <t xml:space="preserve">TC-CON-17</t>
  </si>
  <si>
    <t xml:space="preserve">Prepared transaction treo</t>
  </si>
  <si>
    <t xml:space="preserve">Kiểm tra pg_prepared_xacts</t>
  </si>
  <si>
    <t xml:space="preserve">Rỗng</t>
  </si>
  <si>
    <t xml:space="preserve">TC-CON-18</t>
  </si>
  <si>
    <t xml:space="preserve">Session pooling dùng kết nối dài hạn: trạng thái cộng dồn</t>
  </si>
  <si>
    <t xml:space="preserve">Chạy chuỗi nhiều tenant; DISCARD ALL giữa các lần</t>
  </si>
  <si>
    <t xml:space="preserve">Không còn trạng thái sót</t>
  </si>
  <si>
    <t xml:space="preserve">TC-CON-19</t>
  </si>
  <si>
    <t xml:space="preserve">Pool dùng chung giữa các service/role</t>
  </si>
  <si>
    <t xml:space="preserve">Kiểm tra cấu hình pool</t>
  </si>
  <si>
    <t xml:space="preserve">Mỗi role/service một pool riêng</t>
  </si>
  <si>
    <t xml:space="preserve">TC-SID-01</t>
  </si>
  <si>
    <t xml:space="preserve">Thời gian phản hồi bị tác động bởi tải tenant khác (noisy neighbor)</t>
  </si>
  <si>
    <t xml:space="preserve">Tạo tải nặng ở B, đo độ trễ A</t>
  </si>
  <si>
    <t xml:space="preserve">Độ trễ A trong ngưỡng; có giới hạn tài nguyên/timeout</t>
  </si>
  <si>
    <t xml:space="preserve">TC-SID-02</t>
  </si>
  <si>
    <t xml:space="preserve">Thời gian thực thi theo giá trị dò (WHERE email = ...)</t>
  </si>
  <si>
    <t xml:space="preserve">Dò giá trị có/không có ở tenant khác, đo thời gian</t>
  </si>
  <si>
    <t xml:space="preserve">Không phân biệt được thống kê</t>
  </si>
  <si>
    <t xml:space="preserve">TC-SID-03</t>
  </si>
  <si>
    <t xml:space="preserve">Khóa dòng/khóa bảng của tenant khác</t>
  </si>
  <si>
    <t xml:space="preserve">B giữ khóa; A thao tác bảng đó</t>
  </si>
  <si>
    <t xml:space="preserve">A không bị chờ vì khóa của B (kiểm tra DDL/khóa bảng)</t>
  </si>
  <si>
    <t xml:space="preserve">TC-SID-04</t>
  </si>
  <si>
    <t xml:space="preserve">Advisory lock trùng khóa số nguyên giữa tenant</t>
  </si>
  <si>
    <t xml:space="preserve">A, B cùng khóa số</t>
  </si>
  <si>
    <t xml:space="preserve">Khóa số có chứa tenant, không chặn nhau</t>
  </si>
  <si>
    <t xml:space="preserve">TC-SID-05</t>
  </si>
  <si>
    <t xml:space="preserve">Lỗi unique/FK/exclusion lộ dòng tenant khác</t>
  </si>
  <si>
    <t xml:space="preserve">Chèn giá trị trùng giữa 2 tenant</t>
  </si>
  <si>
    <t xml:space="preserve">Không báo lỗi trùng chéo tenant</t>
  </si>
  <si>
    <t xml:space="preserve">TC-SID-06</t>
  </si>
  <si>
    <t xml:space="preserve">Thông báo lỗi từ hàm không leakproof</t>
  </si>
  <si>
    <t xml:space="preserve">Truy vấn gây chia 0/ép kiểu trên dữ liệu chưa lọc</t>
  </si>
  <si>
    <t xml:space="preserve">Không in giá trị tenant khác</t>
  </si>
  <si>
    <t xml:space="preserve">TC-SID-07</t>
  </si>
  <si>
    <t xml:space="preserve">Giá trị sequence lộ tốc độ tạo dòng</t>
  </si>
  <si>
    <t xml:space="preserve">Quan sát ID tạo ở A khi B hoạt động</t>
  </si>
  <si>
    <t xml:space="preserve">Dùng UUID hoặc đã chấp nhận rủi ro</t>
  </si>
  <si>
    <t xml:space="preserve">TC-SID-08</t>
  </si>
  <si>
    <t xml:space="preserve">pg_stats / pg_class.reltuples / pg_total_relation_size</t>
  </si>
  <si>
    <t xml:space="preserve">Không truy cập được thống kê bảng chung</t>
  </si>
  <si>
    <t xml:space="preserve">TC-SID-09</t>
  </si>
  <si>
    <t xml:space="preserve">pg_stat_statements / pg_stat_activity</t>
  </si>
  <si>
    <t xml:space="preserve">Không thấy câu lệnh tenant khác</t>
  </si>
  <si>
    <t xml:space="preserve">TC-SID-10</t>
  </si>
  <si>
    <t xml:space="preserve">EXPLAIN / EXPLAIN ANALYZE</t>
  </si>
  <si>
    <t xml:space="preserve">Chạy bằng app_user ở prod</t>
  </si>
  <si>
    <t xml:space="preserve">Bị chặn</t>
  </si>
  <si>
    <t xml:space="preserve">TC-SID-11</t>
  </si>
  <si>
    <t xml:space="preserve">Số dòng affected rows / COUNT nhất quán</t>
  </si>
  <si>
    <t xml:space="preserve">UPDATE/DELETE/COUNT với dữ liệu 2 tenant</t>
  </si>
  <si>
    <t xml:space="preserve">Số dòng chỉ tính tenant hiện tại</t>
  </si>
  <si>
    <t xml:space="preserve">TC-SID-12</t>
  </si>
  <si>
    <t xml:space="preserve">Thứ tự và phân trang dựa trên ID toàn cục</t>
  </si>
  <si>
    <t xml:space="preserve">Phân trang trên bảng nhiều tenant</t>
  </si>
  <si>
    <t xml:space="preserve">Không lộ khoảng cách ID; dùng cursor theo tenant</t>
  </si>
  <si>
    <t xml:space="preserve">TC-SID-13</t>
  </si>
  <si>
    <t xml:space="preserve">Cache (shared buffers / cache ứng dụng) làm lộ qua thời gian</t>
  </si>
  <si>
    <t xml:space="preserve">Đo thời gian truy vấn lần đầu và lặp lại</t>
  </si>
  <si>
    <t xml:space="preserve">Khóa cache theo tenant; chấp nhận rủi ro shared buffers</t>
  </si>
  <si>
    <t xml:space="preserve">TC-SID-14</t>
  </si>
  <si>
    <t xml:space="preserve">Số kết nối, hàng đợi pool, statement_timeout</t>
  </si>
  <si>
    <t xml:space="preserve">Một tenant chiếm hết pool</t>
  </si>
  <si>
    <t xml:space="preserve">Có giới hạn kết nối/hạn mức theo tenant</t>
  </si>
  <si>
    <t xml:space="preserve">TC-SID-15</t>
  </si>
  <si>
    <t xml:space="preserve">Autovacuum/WAL/replication lag theo hoạt động tenant khác</t>
  </si>
  <si>
    <t xml:space="preserve">Ghi nặng ở B, đo A</t>
  </si>
  <si>
    <t xml:space="preserve">Không suy ra được chi tiết từ API người dùng</t>
  </si>
  <si>
    <t xml:space="preserve">TC-OUT-01</t>
  </si>
  <si>
    <t xml:space="preserve">WAL và logical decoding không đọc được bởi role ứng dụng</t>
  </si>
  <si>
    <t xml:space="preserve">pg_logical_slot_get_changes bằng app_user</t>
  </si>
  <si>
    <t xml:space="preserve">TC-OUT-02</t>
  </si>
  <si>
    <t xml:space="preserve">File dữ liệu (data_directory) không truy cập được ngoài postgres</t>
  </si>
  <si>
    <t xml:space="preserve">Đọc file từ user OS khác</t>
  </si>
  <si>
    <t xml:space="preserve">TC-OUT-03</t>
  </si>
  <si>
    <t xml:space="preserve">Backup logic (pg_dump) lưu mã hóa, quyền hẹp</t>
  </si>
  <si>
    <t xml:space="preserve">Kiểm tra vị trí, quyền, mã hóa file dump</t>
  </si>
  <si>
    <t xml:space="preserve">Mã hóa; chỉ role backup đọc</t>
  </si>
  <si>
    <t xml:space="preserve">TC-OUT-04</t>
  </si>
  <si>
    <t xml:space="preserve">Backup vật lý/snapshot mã hóa và quyền hẹp</t>
  </si>
  <si>
    <t xml:space="preserve">Kiểm tra quyền truy cập snapshot</t>
  </si>
  <si>
    <t xml:space="preserve">Mã hóa; quyền tối thiểu</t>
  </si>
  <si>
    <t xml:space="preserve">TC-OUT-05</t>
  </si>
  <si>
    <t xml:space="preserve">Archive WAL (PITR) mã hóa và quyền hẹp</t>
  </si>
  <si>
    <t xml:space="preserve">Kiểm tra kho lưu trữ</t>
  </si>
  <si>
    <t xml:space="preserve">TC-OUT-06</t>
  </si>
  <si>
    <t xml:space="preserve">Replica/standby: role và cách ly tương đương primary</t>
  </si>
  <si>
    <t xml:space="preserve">Đăng nhập replica bằng role ứng dụng</t>
  </si>
  <si>
    <t xml:space="preserve">Cùng cấu hình RLS/quyền</t>
  </si>
  <si>
    <t xml:space="preserve">TC-OUT-07</t>
  </si>
  <si>
    <t xml:space="preserve">Replication slot/publication/CDC (Debezium, Kafka) kiểm soát</t>
  </si>
  <si>
    <t xml:space="preserve">Rà soát luồng CDC và nội dung gửi ra</t>
  </si>
  <si>
    <t xml:space="preserve">Có kiểm soát truy cập, có tenant_id, mã hóa</t>
  </si>
  <si>
    <t xml:space="preserve">TC-OUT-08</t>
  </si>
  <si>
    <t xml:space="preserve">Log Postgres không chứa tham số/giá trị dòng và quyền đọc hẹp</t>
  </si>
  <si>
    <t xml:space="preserve">Chạy truy vấn mẫu rồi tìm giá trị trong log</t>
  </si>
  <si>
    <t xml:space="preserve">Không tìm thấy giá trị nhạy cảm</t>
  </si>
  <si>
    <t xml:space="preserve">TC-OUT-09</t>
  </si>
  <si>
    <t xml:space="preserve">pg_stat_statements / auto_explain không lộ cho role ứng dụng</t>
  </si>
  <si>
    <t xml:space="preserve">TC-OUT-10</t>
  </si>
  <si>
    <t xml:space="preserve">File tạm (pgsql_tmp), bảng tạm không lộ dữ liệu</t>
  </si>
  <si>
    <t xml:space="preserve">Kiểm tra quyền thư mục và dọn dẹp</t>
  </si>
  <si>
    <t xml:space="preserve">Quyền hẹp; dọn sau truy vấn</t>
  </si>
  <si>
    <t xml:space="preserve">TC-OUT-11</t>
  </si>
  <si>
    <t xml:space="preserve">Core dump/swap không chứa dữ liệu nhạy cảm</t>
  </si>
  <si>
    <t xml:space="preserve">Rà soát cấu hình OS</t>
  </si>
  <si>
    <t xml:space="preserve">Tắt core dump hoặc mã hóa swap</t>
  </si>
  <si>
    <t xml:space="preserve">TC-OUT-12</t>
  </si>
  <si>
    <t xml:space="preserve">Large Objects (pg_largeobject) có kiểm soát quyền</t>
  </si>
  <si>
    <t xml:space="preserve">Truy cập lo_* bằng app_user</t>
  </si>
  <si>
    <t xml:space="preserve">Không dùng hoặc có tách theo tenant</t>
  </si>
  <si>
    <t xml:space="preserve">TC-OUT-13</t>
  </si>
  <si>
    <t xml:space="preserve">FDW/user mapping không lộ mật khẩu</t>
  </si>
  <si>
    <t xml:space="preserve">Đọc pg_user_mappings bằng app_user</t>
  </si>
  <si>
    <t xml:space="preserve">Không thấy mật khẩu</t>
  </si>
  <si>
    <t xml:space="preserve">TC-OUT-14</t>
  </si>
  <si>
    <t xml:space="preserve">Extension kiểm tra trang (pageinspect, pg_buffercache, pgstattuple, pg_visibility) không cấp cho role ứng dụng</t>
  </si>
  <si>
    <t xml:space="preserve">Gọi hàm bằng app_user</t>
  </si>
  <si>
    <t xml:space="preserve">TC-OUT-15</t>
  </si>
  <si>
    <t xml:space="preserve">Index extension (full-text, pg_trgm, vector, PostGIS) không lộ chéo tenant</t>
  </si>
  <si>
    <t xml:space="preserve">Tìm kiếm tenant A trên dữ liệu B</t>
  </si>
  <si>
    <t xml:space="preserve">Kết quả được lọc theo tenant</t>
  </si>
  <si>
    <t xml:space="preserve">TC-OUT-16</t>
  </si>
  <si>
    <t xml:space="preserve">COPY TO PROGRAM / TO file bị chặn</t>
  </si>
  <si>
    <t xml:space="preserve">Chạy bằng app_user, app_migrator</t>
  </si>
  <si>
    <t xml:space="preserve">TC-OUT-17</t>
  </si>
  <si>
    <t xml:space="preserve">File export/CSV tách theo tenant, không lưu thư mục chung</t>
  </si>
  <si>
    <t xml:space="preserve">Xuất báo cáo tenant A, kiểm tra nội dung và đường dẫn</t>
  </si>
  <si>
    <t xml:space="preserve">Chỉ dữ liệu A; thư mục riêng</t>
  </si>
  <si>
    <t xml:space="preserve">TC-OUT-18</t>
  </si>
  <si>
    <t xml:space="preserve">Data warehouse/ETL/search index/cache mang theo tenant_id và quyền</t>
  </si>
  <si>
    <t xml:space="preserve">Rà soát luồng ETL; truy vấn kho bằng tenant A</t>
  </si>
  <si>
    <t xml:space="preserve">Có tenant_id, lọc đúng</t>
  </si>
  <si>
    <t xml:space="preserve">TC-OUT-19</t>
  </si>
  <si>
    <t xml:space="preserve">Thông tin xác thực (pg_authid, .pgpass, biến môi trường, secret manager)</t>
  </si>
  <si>
    <t xml:space="preserve">Quét repo, image, log tìm secret; kiểm tra quyền đọc</t>
  </si>
  <si>
    <t xml:space="preserve">Không lộ; secret ở secret manager, quyền hẹp</t>
  </si>
  <si>
    <t xml:space="preserve">TC-OUT-20</t>
  </si>
  <si>
    <t xml:space="preserve">Snapshot dịch vụ managed không chia sẻ ngoài ý muốn</t>
  </si>
  <si>
    <t xml:space="preserve">Rà soát chia sẻ snapshot/quyền console</t>
  </si>
  <si>
    <t xml:space="preserve">Không chia sẻ ngoài tài khoản</t>
  </si>
  <si>
    <t xml:space="preserve">TC-OUT-21</t>
  </si>
  <si>
    <t xml:space="preserve">Môi trường dev/test không chứa dữ liệu production chưa ẩn danh</t>
  </si>
  <si>
    <t xml:space="preserve">Kiểm tra dữ liệu dev/test</t>
  </si>
  <si>
    <t xml:space="preserve">Đã ẩn danh/che dữ liệu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</si>
</sst>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FFCC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7" min="6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3" t="n">
        <f aca="false">COUNTIF('Test case'!$B$2:$B$205,B4)</f>
        <v>14</v>
      </c>
      <c r="E4" s="3" t="n">
        <f aca="false">COUNTIFS('Test case'!$B$2:$B$205,B4,'Test case'!$I$2:$I$205,"Đạt")</f>
        <v>0</v>
      </c>
      <c r="F4" s="3" t="n">
        <f aca="false">COUNTIFS('Test case'!$B$2:$B$205,B4,'Test case'!$I$2:$I$205,"Không đạt")</f>
        <v>0</v>
      </c>
      <c r="G4" s="3" t="n">
        <f aca="false">COUNTIFS('Test case'!$B$2:$B$205,B4,'Test case'!$I$2:$I$205,"Chưa chạy")</f>
        <v>14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n">
        <f aca="false">COUNTIF('Test case'!$B$2:$B$205,B5)</f>
        <v>7</v>
      </c>
      <c r="E5" s="3" t="n">
        <f aca="false">COUNTIFS('Test case'!$B$2:$B$205,B5,'Test case'!$I$2:$I$205,"Đạt")</f>
        <v>0</v>
      </c>
      <c r="F5" s="3" t="n">
        <f aca="false">COUNTIFS('Test case'!$B$2:$B$205,B5,'Test case'!$I$2:$I$205,"Không đạt")</f>
        <v>0</v>
      </c>
      <c r="G5" s="3" t="n">
        <f aca="false">COUNTIFS('Test case'!$B$2:$B$205,B5,'Test case'!$I$2:$I$205,"Chưa chạy")</f>
        <v>7</v>
      </c>
    </row>
    <row r="6" customFormat="false" ht="15" hidden="false" customHeight="false" outlineLevel="0" collapsed="false">
      <c r="A6" s="3" t="s">
        <v>14</v>
      </c>
      <c r="B6" s="3" t="s">
        <v>15</v>
      </c>
      <c r="C6" s="3" t="s">
        <v>16</v>
      </c>
      <c r="D6" s="3" t="n">
        <f aca="false">COUNTIF('Test case'!$B$2:$B$205,B6)</f>
        <v>18</v>
      </c>
      <c r="E6" s="3" t="n">
        <f aca="false">COUNTIFS('Test case'!$B$2:$B$205,B6,'Test case'!$I$2:$I$205,"Đạt")</f>
        <v>0</v>
      </c>
      <c r="F6" s="3" t="n">
        <f aca="false">COUNTIFS('Test case'!$B$2:$B$205,B6,'Test case'!$I$2:$I$205,"Không đạt")</f>
        <v>0</v>
      </c>
      <c r="G6" s="3" t="n">
        <f aca="false">COUNTIFS('Test case'!$B$2:$B$205,B6,'Test case'!$I$2:$I$205,"Chưa chạy")</f>
        <v>18</v>
      </c>
    </row>
    <row r="7" customFormat="false" ht="23.85" hidden="false" customHeight="false" outlineLevel="0" collapsed="false">
      <c r="A7" s="3" t="s">
        <v>17</v>
      </c>
      <c r="B7" s="3" t="s">
        <v>18</v>
      </c>
      <c r="C7" s="3" t="s">
        <v>19</v>
      </c>
      <c r="D7" s="3" t="n">
        <f aca="false">COUNTIF('Test case'!$B$2:$B$205,B7)</f>
        <v>12</v>
      </c>
      <c r="E7" s="3" t="n">
        <f aca="false">COUNTIFS('Test case'!$B$2:$B$205,B7,'Test case'!$I$2:$I$205,"Đạt")</f>
        <v>0</v>
      </c>
      <c r="F7" s="3" t="n">
        <f aca="false">COUNTIFS('Test case'!$B$2:$B$205,B7,'Test case'!$I$2:$I$205,"Không đạt")</f>
        <v>0</v>
      </c>
      <c r="G7" s="3" t="n">
        <f aca="false">COUNTIFS('Test case'!$B$2:$B$205,B7,'Test case'!$I$2:$I$205,"Chưa chạy")</f>
        <v>12</v>
      </c>
    </row>
    <row r="8" customFormat="false" ht="15" hidden="false" customHeight="false" outlineLevel="0" collapsed="false">
      <c r="A8" s="3" t="s">
        <v>20</v>
      </c>
      <c r="B8" s="3" t="s">
        <v>21</v>
      </c>
      <c r="C8" s="3" t="s">
        <v>22</v>
      </c>
      <c r="D8" s="3" t="n">
        <f aca="false">COUNTIF('Test case'!$B$2:$B$205,B8)</f>
        <v>13</v>
      </c>
      <c r="E8" s="3" t="n">
        <f aca="false">COUNTIFS('Test case'!$B$2:$B$205,B8,'Test case'!$I$2:$I$205,"Đạt")</f>
        <v>0</v>
      </c>
      <c r="F8" s="3" t="n">
        <f aca="false">COUNTIFS('Test case'!$B$2:$B$205,B8,'Test case'!$I$2:$I$205,"Không đạt")</f>
        <v>0</v>
      </c>
      <c r="G8" s="3" t="n">
        <f aca="false">COUNTIFS('Test case'!$B$2:$B$205,B8,'Test case'!$I$2:$I$205,"Chưa chạy")</f>
        <v>13</v>
      </c>
    </row>
    <row r="9" customFormat="false" ht="15" hidden="false" customHeight="false" outlineLevel="0" collapsed="false">
      <c r="A9" s="3" t="s">
        <v>23</v>
      </c>
      <c r="B9" s="3" t="s">
        <v>24</v>
      </c>
      <c r="C9" s="3" t="s">
        <v>25</v>
      </c>
      <c r="D9" s="3" t="n">
        <f aca="false">COUNTIF('Test case'!$B$2:$B$205,B9)</f>
        <v>18</v>
      </c>
      <c r="E9" s="3" t="n">
        <f aca="false">COUNTIFS('Test case'!$B$2:$B$205,B9,'Test case'!$I$2:$I$205,"Đạt")</f>
        <v>0</v>
      </c>
      <c r="F9" s="3" t="n">
        <f aca="false">COUNTIFS('Test case'!$B$2:$B$205,B9,'Test case'!$I$2:$I$205,"Không đạt")</f>
        <v>0</v>
      </c>
      <c r="G9" s="3" t="n">
        <f aca="false">COUNTIFS('Test case'!$B$2:$B$205,B9,'Test case'!$I$2:$I$205,"Chưa chạy")</f>
        <v>18</v>
      </c>
    </row>
    <row r="10" customFormat="false" ht="15" hidden="false" customHeight="false" outlineLevel="0" collapsed="false">
      <c r="A10" s="3" t="s">
        <v>26</v>
      </c>
      <c r="B10" s="3" t="s">
        <v>27</v>
      </c>
      <c r="C10" s="3" t="s">
        <v>28</v>
      </c>
      <c r="D10" s="3" t="n">
        <f aca="false">COUNTIF('Test case'!$B$2:$B$205,B10)</f>
        <v>18</v>
      </c>
      <c r="E10" s="3" t="n">
        <f aca="false">COUNTIFS('Test case'!$B$2:$B$205,B10,'Test case'!$I$2:$I$205,"Đạt")</f>
        <v>0</v>
      </c>
      <c r="F10" s="3" t="n">
        <f aca="false">COUNTIFS('Test case'!$B$2:$B$205,B10,'Test case'!$I$2:$I$205,"Không đạt")</f>
        <v>0</v>
      </c>
      <c r="G10" s="3" t="n">
        <f aca="false">COUNTIFS('Test case'!$B$2:$B$205,B10,'Test case'!$I$2:$I$205,"Chưa chạy")</f>
        <v>18</v>
      </c>
    </row>
    <row r="11" customFormat="false" ht="15" hidden="false" customHeight="false" outlineLevel="0" collapsed="false">
      <c r="A11" s="3" t="s">
        <v>29</v>
      </c>
      <c r="B11" s="3" t="s">
        <v>30</v>
      </c>
      <c r="C11" s="3" t="s">
        <v>31</v>
      </c>
      <c r="D11" s="3" t="n">
        <f aca="false">COUNTIF('Test case'!$B$2:$B$205,B11)</f>
        <v>12</v>
      </c>
      <c r="E11" s="3" t="n">
        <f aca="false">COUNTIFS('Test case'!$B$2:$B$205,B11,'Test case'!$I$2:$I$205,"Đạt")</f>
        <v>0</v>
      </c>
      <c r="F11" s="3" t="n">
        <f aca="false">COUNTIFS('Test case'!$B$2:$B$205,B11,'Test case'!$I$2:$I$205,"Không đạt")</f>
        <v>0</v>
      </c>
      <c r="G11" s="3" t="n">
        <f aca="false">COUNTIFS('Test case'!$B$2:$B$205,B11,'Test case'!$I$2:$I$205,"Chưa chạy")</f>
        <v>12</v>
      </c>
    </row>
    <row r="12" customFormat="false" ht="15" hidden="false" customHeight="false" outlineLevel="0" collapsed="false">
      <c r="A12" s="3" t="s">
        <v>32</v>
      </c>
      <c r="B12" s="3" t="s">
        <v>33</v>
      </c>
      <c r="C12" s="3" t="s">
        <v>34</v>
      </c>
      <c r="D12" s="3" t="n">
        <f aca="false">COUNTIF('Test case'!$B$2:$B$205,B12)</f>
        <v>22</v>
      </c>
      <c r="E12" s="3" t="n">
        <f aca="false">COUNTIFS('Test case'!$B$2:$B$205,B12,'Test case'!$I$2:$I$205,"Đạt")</f>
        <v>0</v>
      </c>
      <c r="F12" s="3" t="n">
        <f aca="false">COUNTIFS('Test case'!$B$2:$B$205,B12,'Test case'!$I$2:$I$205,"Không đạt")</f>
        <v>0</v>
      </c>
      <c r="G12" s="3" t="n">
        <f aca="false">COUNTIFS('Test case'!$B$2:$B$205,B12,'Test case'!$I$2:$I$205,"Chưa chạy")</f>
        <v>22</v>
      </c>
    </row>
    <row r="13" customFormat="false" ht="15" hidden="false" customHeight="false" outlineLevel="0" collapsed="false">
      <c r="A13" s="3" t="s">
        <v>35</v>
      </c>
      <c r="B13" s="3" t="s">
        <v>36</v>
      </c>
      <c r="C13" s="3" t="s">
        <v>37</v>
      </c>
      <c r="D13" s="3" t="n">
        <f aca="false">COUNTIF('Test case'!$B$2:$B$205,B13)</f>
        <v>15</v>
      </c>
      <c r="E13" s="3" t="n">
        <f aca="false">COUNTIFS('Test case'!$B$2:$B$205,B13,'Test case'!$I$2:$I$205,"Đạt")</f>
        <v>0</v>
      </c>
      <c r="F13" s="3" t="n">
        <f aca="false">COUNTIFS('Test case'!$B$2:$B$205,B13,'Test case'!$I$2:$I$205,"Không đạt")</f>
        <v>0</v>
      </c>
      <c r="G13" s="3" t="n">
        <f aca="false">COUNTIFS('Test case'!$B$2:$B$205,B13,'Test case'!$I$2:$I$205,"Chưa chạy")</f>
        <v>15</v>
      </c>
    </row>
    <row r="14" customFormat="false" ht="15" hidden="false" customHeight="false" outlineLevel="0" collapsed="false">
      <c r="A14" s="3" t="s">
        <v>38</v>
      </c>
      <c r="B14" s="3" t="s">
        <v>39</v>
      </c>
      <c r="C14" s="3" t="s">
        <v>40</v>
      </c>
      <c r="D14" s="3" t="n">
        <f aca="false">COUNTIF('Test case'!$B$2:$B$205,B14)</f>
        <v>19</v>
      </c>
      <c r="E14" s="3" t="n">
        <f aca="false">COUNTIFS('Test case'!$B$2:$B$205,B14,'Test case'!$I$2:$I$205,"Đạt")</f>
        <v>0</v>
      </c>
      <c r="F14" s="3" t="n">
        <f aca="false">COUNTIFS('Test case'!$B$2:$B$205,B14,'Test case'!$I$2:$I$205,"Không đạt")</f>
        <v>0</v>
      </c>
      <c r="G14" s="3" t="n">
        <f aca="false">COUNTIFS('Test case'!$B$2:$B$205,B14,'Test case'!$I$2:$I$205,"Chưa chạy")</f>
        <v>19</v>
      </c>
    </row>
    <row r="15" customFormat="false" ht="15" hidden="false" customHeight="false" outlineLevel="0" collapsed="false">
      <c r="A15" s="3" t="s">
        <v>41</v>
      </c>
      <c r="B15" s="3" t="s">
        <v>42</v>
      </c>
      <c r="C15" s="3" t="s">
        <v>43</v>
      </c>
      <c r="D15" s="3" t="n">
        <f aca="false">COUNTIF('Test case'!$B$2:$B$205,B15)</f>
        <v>15</v>
      </c>
      <c r="E15" s="3" t="n">
        <f aca="false">COUNTIFS('Test case'!$B$2:$B$205,B15,'Test case'!$I$2:$I$205,"Đạt")</f>
        <v>0</v>
      </c>
      <c r="F15" s="3" t="n">
        <f aca="false">COUNTIFS('Test case'!$B$2:$B$205,B15,'Test case'!$I$2:$I$205,"Không đạt")</f>
        <v>0</v>
      </c>
      <c r="G15" s="3" t="n">
        <f aca="false">COUNTIFS('Test case'!$B$2:$B$205,B15,'Test case'!$I$2:$I$205,"Chưa chạy")</f>
        <v>15</v>
      </c>
    </row>
    <row r="16" customFormat="false" ht="15" hidden="false" customHeight="false" outlineLevel="0" collapsed="false">
      <c r="A16" s="3" t="s">
        <v>44</v>
      </c>
      <c r="B16" s="3" t="s">
        <v>45</v>
      </c>
      <c r="C16" s="3" t="s">
        <v>46</v>
      </c>
      <c r="D16" s="3" t="n">
        <f aca="false">COUNTIF('Test case'!$B$2:$B$205,B16)</f>
        <v>21</v>
      </c>
      <c r="E16" s="3" t="n">
        <f aca="false">COUNTIFS('Test case'!$B$2:$B$205,B16,'Test case'!$I$2:$I$205,"Đạt")</f>
        <v>0</v>
      </c>
      <c r="F16" s="3" t="n">
        <f aca="false">COUNTIFS('Test case'!$B$2:$B$205,B16,'Test case'!$I$2:$I$205,"Không đạt")</f>
        <v>0</v>
      </c>
      <c r="G16" s="3" t="n">
        <f aca="false">COUNTIFS('Test case'!$B$2:$B$205,B16,'Test case'!$I$2:$I$205,"Chưa chạy")</f>
        <v>21</v>
      </c>
    </row>
    <row r="17" customFormat="false" ht="15" hidden="false" customHeight="false" outlineLevel="0" collapsed="false">
      <c r="A17" s="4"/>
      <c r="B17" s="4" t="s">
        <v>47</v>
      </c>
      <c r="C17" s="4"/>
      <c r="D17" s="4" t="n">
        <f aca="false">SUM(D4:D16)</f>
        <v>204</v>
      </c>
      <c r="E17" s="4" t="n">
        <f aca="false">SUM(E4:E16)</f>
        <v>0</v>
      </c>
      <c r="F17" s="4" t="n">
        <f aca="false">SUM(F4:F16)</f>
        <v>0</v>
      </c>
      <c r="G17" s="4" t="n">
        <f aca="false">SUM(G4:G16)</f>
        <v>204</v>
      </c>
    </row>
    <row r="19" customFormat="false" ht="15" hidden="false" customHeight="false" outlineLevel="0" collapsed="false">
      <c r="A19" s="5" t="s">
        <v>48</v>
      </c>
    </row>
    <row r="20" customFormat="false" ht="15" hidden="false" customHeight="false" outlineLevel="0" collapsed="false">
      <c r="A20" s="6" t="s">
        <v>49</v>
      </c>
      <c r="B20" s="6" t="s">
        <v>50</v>
      </c>
      <c r="C20" s="6"/>
      <c r="D20" s="6" t="n">
        <f aca="false">COUNTIF('Test case'!$G$2:$G$205,A20)</f>
        <v>114</v>
      </c>
      <c r="E20" s="6"/>
      <c r="F20" s="6"/>
      <c r="G20" s="6"/>
    </row>
    <row r="21" customFormat="false" ht="15" hidden="false" customHeight="false" outlineLevel="0" collapsed="false">
      <c r="A21" s="6" t="s">
        <v>51</v>
      </c>
      <c r="B21" s="6" t="s">
        <v>52</v>
      </c>
      <c r="C21" s="6"/>
      <c r="D21" s="6" t="n">
        <f aca="false">COUNTIF('Test case'!$G$2:$G$205,A21)</f>
        <v>70</v>
      </c>
      <c r="E21" s="6"/>
      <c r="F21" s="6"/>
      <c r="G21" s="6"/>
    </row>
    <row r="22" customFormat="false" ht="15" hidden="false" customHeight="false" outlineLevel="0" collapsed="false">
      <c r="A22" s="6" t="s">
        <v>53</v>
      </c>
      <c r="B22" s="6" t="s">
        <v>54</v>
      </c>
      <c r="C22" s="6"/>
      <c r="D22" s="6" t="n">
        <f aca="false">COUNTIF('Test case'!$G$2:$G$205,A22)</f>
        <v>18</v>
      </c>
      <c r="E22" s="6"/>
      <c r="F22" s="6"/>
      <c r="G22" s="6"/>
    </row>
    <row r="23" customFormat="false" ht="15" hidden="false" customHeight="false" outlineLevel="0" collapsed="false">
      <c r="A23" s="6" t="s">
        <v>55</v>
      </c>
      <c r="B23" s="6" t="s">
        <v>56</v>
      </c>
      <c r="C23" s="6"/>
      <c r="D23" s="6" t="n">
        <f aca="false">COUNTIF('Test case'!$G$2:$G$205,A23)</f>
        <v>2</v>
      </c>
      <c r="E23" s="6"/>
      <c r="F23" s="6"/>
      <c r="G23" s="6"/>
    </row>
    <row r="25" customFormat="false" ht="15" hidden="false" customHeight="false" outlineLevel="0" collapsed="false">
      <c r="A25" s="7" t="s">
        <v>57</v>
      </c>
    </row>
    <row r="26" customFormat="false" ht="15" hidden="false" customHeight="false" outlineLevel="0" collapsed="false">
      <c r="A26" s="7" t="s">
        <v>58</v>
      </c>
    </row>
    <row r="27" customFormat="false" ht="15" hidden="false" customHeight="false" outlineLevel="0" collapsed="false">
      <c r="A27" s="7" t="s">
        <v>59</v>
      </c>
    </row>
    <row r="28" customFormat="false" ht="15" hidden="false" customHeight="false" outlineLevel="0" collapsed="false">
      <c r="A28" s="7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48"/>
    <col collapsed="false" customWidth="true" hidden="false" outlineLevel="0" max="6" min="5" style="0" width="44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12"/>
  </cols>
  <sheetData>
    <row r="1" customFormat="false" ht="27.75" hidden="false" customHeight="true" outlineLevel="0" collapsed="false">
      <c r="A1" s="8" t="s">
        <v>61</v>
      </c>
      <c r="B1" s="8" t="s">
        <v>2</v>
      </c>
      <c r="C1" s="8" t="s">
        <v>3</v>
      </c>
      <c r="D1" s="8" t="s">
        <v>62</v>
      </c>
      <c r="E1" s="8" t="s">
        <v>63</v>
      </c>
      <c r="F1" s="8" t="s">
        <v>64</v>
      </c>
      <c r="G1" s="8" t="s">
        <v>65</v>
      </c>
      <c r="H1" s="8" t="s">
        <v>66</v>
      </c>
      <c r="I1" s="8" t="s">
        <v>67</v>
      </c>
    </row>
    <row r="2" customFormat="false" ht="23.85" hidden="false" customHeight="false" outlineLevel="0" collapsed="false">
      <c r="A2" s="4" t="s">
        <v>68</v>
      </c>
      <c r="B2" s="3" t="s">
        <v>9</v>
      </c>
      <c r="C2" s="3" t="s">
        <v>10</v>
      </c>
      <c r="D2" s="3" t="s">
        <v>69</v>
      </c>
      <c r="E2" s="3" t="s">
        <v>70</v>
      </c>
      <c r="F2" s="3" t="s">
        <v>71</v>
      </c>
      <c r="G2" s="9" t="s">
        <v>49</v>
      </c>
      <c r="H2" s="10"/>
      <c r="I2" s="11" t="s">
        <v>7</v>
      </c>
    </row>
    <row r="3" customFormat="false" ht="23.85" hidden="false" customHeight="false" outlineLevel="0" collapsed="false">
      <c r="A3" s="4" t="s">
        <v>72</v>
      </c>
      <c r="B3" s="3" t="s">
        <v>9</v>
      </c>
      <c r="C3" s="3" t="s">
        <v>10</v>
      </c>
      <c r="D3" s="3" t="s">
        <v>73</v>
      </c>
      <c r="E3" s="3" t="s">
        <v>74</v>
      </c>
      <c r="F3" s="3" t="s">
        <v>75</v>
      </c>
      <c r="G3" s="9" t="s">
        <v>49</v>
      </c>
      <c r="H3" s="10"/>
      <c r="I3" s="11" t="s">
        <v>7</v>
      </c>
    </row>
    <row r="4" customFormat="false" ht="23.85" hidden="false" customHeight="false" outlineLevel="0" collapsed="false">
      <c r="A4" s="4" t="s">
        <v>76</v>
      </c>
      <c r="B4" s="3" t="s">
        <v>9</v>
      </c>
      <c r="C4" s="3" t="s">
        <v>10</v>
      </c>
      <c r="D4" s="3" t="s">
        <v>77</v>
      </c>
      <c r="E4" s="3" t="s">
        <v>78</v>
      </c>
      <c r="F4" s="3" t="s">
        <v>79</v>
      </c>
      <c r="G4" s="9" t="s">
        <v>49</v>
      </c>
      <c r="H4" s="10"/>
      <c r="I4" s="11" t="s">
        <v>7</v>
      </c>
    </row>
    <row r="5" customFormat="false" ht="23.85" hidden="false" customHeight="false" outlineLevel="0" collapsed="false">
      <c r="A5" s="4" t="s">
        <v>80</v>
      </c>
      <c r="B5" s="3" t="s">
        <v>9</v>
      </c>
      <c r="C5" s="3" t="s">
        <v>10</v>
      </c>
      <c r="D5" s="3" t="s">
        <v>81</v>
      </c>
      <c r="E5" s="3" t="s">
        <v>82</v>
      </c>
      <c r="F5" s="3" t="s">
        <v>83</v>
      </c>
      <c r="G5" s="9" t="s">
        <v>49</v>
      </c>
      <c r="H5" s="10"/>
      <c r="I5" s="11" t="s">
        <v>7</v>
      </c>
    </row>
    <row r="6" customFormat="false" ht="23.85" hidden="false" customHeight="false" outlineLevel="0" collapsed="false">
      <c r="A6" s="4" t="s">
        <v>84</v>
      </c>
      <c r="B6" s="3" t="s">
        <v>9</v>
      </c>
      <c r="C6" s="3" t="s">
        <v>10</v>
      </c>
      <c r="D6" s="3" t="s">
        <v>85</v>
      </c>
      <c r="E6" s="3" t="s">
        <v>86</v>
      </c>
      <c r="F6" s="3" t="s">
        <v>87</v>
      </c>
      <c r="G6" s="9" t="s">
        <v>49</v>
      </c>
      <c r="H6" s="10"/>
      <c r="I6" s="11" t="s">
        <v>7</v>
      </c>
    </row>
    <row r="7" customFormat="false" ht="23.85" hidden="false" customHeight="false" outlineLevel="0" collapsed="false">
      <c r="A7" s="4" t="s">
        <v>88</v>
      </c>
      <c r="B7" s="3" t="s">
        <v>9</v>
      </c>
      <c r="C7" s="3" t="s">
        <v>10</v>
      </c>
      <c r="D7" s="3" t="s">
        <v>89</v>
      </c>
      <c r="E7" s="3" t="s">
        <v>90</v>
      </c>
      <c r="F7" s="3" t="s">
        <v>91</v>
      </c>
      <c r="G7" s="9" t="s">
        <v>49</v>
      </c>
      <c r="H7" s="10"/>
      <c r="I7" s="11" t="s">
        <v>7</v>
      </c>
    </row>
    <row r="8" customFormat="false" ht="23.85" hidden="false" customHeight="false" outlineLevel="0" collapsed="false">
      <c r="A8" s="4" t="s">
        <v>92</v>
      </c>
      <c r="B8" s="3" t="s">
        <v>9</v>
      </c>
      <c r="C8" s="3" t="s">
        <v>10</v>
      </c>
      <c r="D8" s="3" t="s">
        <v>93</v>
      </c>
      <c r="E8" s="3" t="s">
        <v>94</v>
      </c>
      <c r="F8" s="3" t="s">
        <v>95</v>
      </c>
      <c r="G8" s="12" t="s">
        <v>51</v>
      </c>
      <c r="H8" s="10"/>
      <c r="I8" s="11" t="s">
        <v>7</v>
      </c>
    </row>
    <row r="9" customFormat="false" ht="23.85" hidden="false" customHeight="false" outlineLevel="0" collapsed="false">
      <c r="A9" s="4" t="s">
        <v>96</v>
      </c>
      <c r="B9" s="3" t="s">
        <v>9</v>
      </c>
      <c r="C9" s="3" t="s">
        <v>10</v>
      </c>
      <c r="D9" s="3" t="s">
        <v>97</v>
      </c>
      <c r="E9" s="3" t="s">
        <v>98</v>
      </c>
      <c r="F9" s="3" t="s">
        <v>99</v>
      </c>
      <c r="G9" s="9" t="s">
        <v>49</v>
      </c>
      <c r="H9" s="10"/>
      <c r="I9" s="11" t="s">
        <v>7</v>
      </c>
    </row>
    <row r="10" customFormat="false" ht="23.85" hidden="false" customHeight="false" outlineLevel="0" collapsed="false">
      <c r="A10" s="4" t="s">
        <v>100</v>
      </c>
      <c r="B10" s="3" t="s">
        <v>9</v>
      </c>
      <c r="C10" s="3" t="s">
        <v>10</v>
      </c>
      <c r="D10" s="3" t="s">
        <v>101</v>
      </c>
      <c r="E10" s="3" t="s">
        <v>102</v>
      </c>
      <c r="F10" s="3" t="s">
        <v>103</v>
      </c>
      <c r="G10" s="9" t="s">
        <v>49</v>
      </c>
      <c r="H10" s="10"/>
      <c r="I10" s="11" t="s">
        <v>7</v>
      </c>
    </row>
    <row r="11" customFormat="false" ht="23.85" hidden="false" customHeight="false" outlineLevel="0" collapsed="false">
      <c r="A11" s="4" t="s">
        <v>104</v>
      </c>
      <c r="B11" s="3" t="s">
        <v>9</v>
      </c>
      <c r="C11" s="3" t="s">
        <v>10</v>
      </c>
      <c r="D11" s="3" t="s">
        <v>105</v>
      </c>
      <c r="E11" s="3" t="s">
        <v>106</v>
      </c>
      <c r="F11" s="3" t="s">
        <v>107</v>
      </c>
      <c r="G11" s="9" t="s">
        <v>49</v>
      </c>
      <c r="H11" s="10"/>
      <c r="I11" s="11" t="s">
        <v>7</v>
      </c>
    </row>
    <row r="12" customFormat="false" ht="23.85" hidden="false" customHeight="false" outlineLevel="0" collapsed="false">
      <c r="A12" s="4" t="s">
        <v>108</v>
      </c>
      <c r="B12" s="3" t="s">
        <v>9</v>
      </c>
      <c r="C12" s="3" t="s">
        <v>10</v>
      </c>
      <c r="D12" s="3" t="s">
        <v>109</v>
      </c>
      <c r="E12" s="3" t="s">
        <v>110</v>
      </c>
      <c r="F12" s="3" t="s">
        <v>111</v>
      </c>
      <c r="G12" s="12" t="s">
        <v>51</v>
      </c>
      <c r="H12" s="10"/>
      <c r="I12" s="11" t="s">
        <v>7</v>
      </c>
    </row>
    <row r="13" customFormat="false" ht="23.85" hidden="false" customHeight="false" outlineLevel="0" collapsed="false">
      <c r="A13" s="4" t="s">
        <v>112</v>
      </c>
      <c r="B13" s="3" t="s">
        <v>9</v>
      </c>
      <c r="C13" s="3" t="s">
        <v>10</v>
      </c>
      <c r="D13" s="3" t="s">
        <v>113</v>
      </c>
      <c r="E13" s="3" t="s">
        <v>114</v>
      </c>
      <c r="F13" s="3" t="s">
        <v>115</v>
      </c>
      <c r="G13" s="9" t="s">
        <v>49</v>
      </c>
      <c r="H13" s="10"/>
      <c r="I13" s="11" t="s">
        <v>7</v>
      </c>
    </row>
    <row r="14" customFormat="false" ht="23.85" hidden="false" customHeight="false" outlineLevel="0" collapsed="false">
      <c r="A14" s="4" t="s">
        <v>116</v>
      </c>
      <c r="B14" s="3" t="s">
        <v>9</v>
      </c>
      <c r="C14" s="3" t="s">
        <v>10</v>
      </c>
      <c r="D14" s="3" t="s">
        <v>117</v>
      </c>
      <c r="E14" s="3" t="s">
        <v>118</v>
      </c>
      <c r="F14" s="3" t="s">
        <v>119</v>
      </c>
      <c r="G14" s="12" t="s">
        <v>51</v>
      </c>
      <c r="H14" s="10"/>
      <c r="I14" s="11" t="s">
        <v>7</v>
      </c>
    </row>
    <row r="15" customFormat="false" ht="23.85" hidden="false" customHeight="false" outlineLevel="0" collapsed="false">
      <c r="A15" s="4" t="s">
        <v>120</v>
      </c>
      <c r="B15" s="3" t="s">
        <v>9</v>
      </c>
      <c r="C15" s="3" t="s">
        <v>10</v>
      </c>
      <c r="D15" s="3" t="s">
        <v>121</v>
      </c>
      <c r="E15" s="3" t="s">
        <v>122</v>
      </c>
      <c r="F15" s="3" t="s">
        <v>123</v>
      </c>
      <c r="G15" s="12" t="s">
        <v>51</v>
      </c>
      <c r="H15" s="10"/>
      <c r="I15" s="11" t="s">
        <v>7</v>
      </c>
    </row>
    <row r="16" customFormat="false" ht="23.85" hidden="false" customHeight="false" outlineLevel="0" collapsed="false">
      <c r="A16" s="4" t="s">
        <v>124</v>
      </c>
      <c r="B16" s="3" t="s">
        <v>12</v>
      </c>
      <c r="C16" s="3" t="s">
        <v>13</v>
      </c>
      <c r="D16" s="3" t="s">
        <v>125</v>
      </c>
      <c r="E16" s="3" t="s">
        <v>126</v>
      </c>
      <c r="F16" s="3" t="s">
        <v>127</v>
      </c>
      <c r="G16" s="13" t="s">
        <v>53</v>
      </c>
      <c r="H16" s="10"/>
      <c r="I16" s="11" t="s">
        <v>7</v>
      </c>
    </row>
    <row r="17" customFormat="false" ht="23.85" hidden="false" customHeight="false" outlineLevel="0" collapsed="false">
      <c r="A17" s="4" t="s">
        <v>128</v>
      </c>
      <c r="B17" s="3" t="s">
        <v>12</v>
      </c>
      <c r="C17" s="3" t="s">
        <v>13</v>
      </c>
      <c r="D17" s="3" t="s">
        <v>129</v>
      </c>
      <c r="E17" s="3" t="s">
        <v>130</v>
      </c>
      <c r="F17" s="3" t="s">
        <v>131</v>
      </c>
      <c r="G17" s="12" t="s">
        <v>51</v>
      </c>
      <c r="H17" s="10"/>
      <c r="I17" s="11" t="s">
        <v>7</v>
      </c>
    </row>
    <row r="18" customFormat="false" ht="15" hidden="false" customHeight="false" outlineLevel="0" collapsed="false">
      <c r="A18" s="4" t="s">
        <v>132</v>
      </c>
      <c r="B18" s="3" t="s">
        <v>12</v>
      </c>
      <c r="C18" s="3" t="s">
        <v>13</v>
      </c>
      <c r="D18" s="3" t="s">
        <v>133</v>
      </c>
      <c r="E18" s="3" t="s">
        <v>134</v>
      </c>
      <c r="F18" s="3" t="s">
        <v>135</v>
      </c>
      <c r="G18" s="9" t="s">
        <v>49</v>
      </c>
      <c r="H18" s="10"/>
      <c r="I18" s="11" t="s">
        <v>7</v>
      </c>
    </row>
    <row r="19" customFormat="false" ht="15" hidden="false" customHeight="false" outlineLevel="0" collapsed="false">
      <c r="A19" s="4" t="s">
        <v>136</v>
      </c>
      <c r="B19" s="3" t="s">
        <v>12</v>
      </c>
      <c r="C19" s="3" t="s">
        <v>13</v>
      </c>
      <c r="D19" s="3" t="s">
        <v>137</v>
      </c>
      <c r="E19" s="3" t="s">
        <v>138</v>
      </c>
      <c r="F19" s="3" t="s">
        <v>139</v>
      </c>
      <c r="G19" s="12" t="s">
        <v>51</v>
      </c>
      <c r="H19" s="10"/>
      <c r="I19" s="11" t="s">
        <v>7</v>
      </c>
    </row>
    <row r="20" customFormat="false" ht="23.85" hidden="false" customHeight="false" outlineLevel="0" collapsed="false">
      <c r="A20" s="4" t="s">
        <v>140</v>
      </c>
      <c r="B20" s="3" t="s">
        <v>12</v>
      </c>
      <c r="C20" s="3" t="s">
        <v>13</v>
      </c>
      <c r="D20" s="3" t="s">
        <v>141</v>
      </c>
      <c r="E20" s="3" t="s">
        <v>142</v>
      </c>
      <c r="F20" s="3" t="s">
        <v>143</v>
      </c>
      <c r="G20" s="12" t="s">
        <v>51</v>
      </c>
      <c r="H20" s="10"/>
      <c r="I20" s="11" t="s">
        <v>7</v>
      </c>
    </row>
    <row r="21" customFormat="false" ht="23.85" hidden="false" customHeight="false" outlineLevel="0" collapsed="false">
      <c r="A21" s="4" t="s">
        <v>144</v>
      </c>
      <c r="B21" s="3" t="s">
        <v>12</v>
      </c>
      <c r="C21" s="3" t="s">
        <v>13</v>
      </c>
      <c r="D21" s="3" t="s">
        <v>145</v>
      </c>
      <c r="E21" s="3" t="s">
        <v>146</v>
      </c>
      <c r="F21" s="3" t="s">
        <v>147</v>
      </c>
      <c r="G21" s="12" t="s">
        <v>51</v>
      </c>
      <c r="H21" s="10"/>
      <c r="I21" s="11" t="s">
        <v>7</v>
      </c>
    </row>
    <row r="22" customFormat="false" ht="23.85" hidden="false" customHeight="false" outlineLevel="0" collapsed="false">
      <c r="A22" s="4" t="s">
        <v>148</v>
      </c>
      <c r="B22" s="3" t="s">
        <v>12</v>
      </c>
      <c r="C22" s="3" t="s">
        <v>13</v>
      </c>
      <c r="D22" s="3" t="s">
        <v>149</v>
      </c>
      <c r="E22" s="3" t="s">
        <v>150</v>
      </c>
      <c r="F22" s="3" t="s">
        <v>151</v>
      </c>
      <c r="G22" s="12" t="s">
        <v>51</v>
      </c>
      <c r="H22" s="10"/>
      <c r="I22" s="11" t="s">
        <v>7</v>
      </c>
    </row>
    <row r="23" customFormat="false" ht="23.85" hidden="false" customHeight="false" outlineLevel="0" collapsed="false">
      <c r="A23" s="4" t="s">
        <v>152</v>
      </c>
      <c r="B23" s="3" t="s">
        <v>15</v>
      </c>
      <c r="C23" s="3" t="s">
        <v>16</v>
      </c>
      <c r="D23" s="3" t="s">
        <v>153</v>
      </c>
      <c r="E23" s="3" t="s">
        <v>154</v>
      </c>
      <c r="F23" s="3" t="s">
        <v>155</v>
      </c>
      <c r="G23" s="9" t="s">
        <v>49</v>
      </c>
      <c r="H23" s="10"/>
      <c r="I23" s="11" t="s">
        <v>7</v>
      </c>
    </row>
    <row r="24" customFormat="false" ht="23.85" hidden="false" customHeight="false" outlineLevel="0" collapsed="false">
      <c r="A24" s="4" t="s">
        <v>156</v>
      </c>
      <c r="B24" s="3" t="s">
        <v>15</v>
      </c>
      <c r="C24" s="3" t="s">
        <v>16</v>
      </c>
      <c r="D24" s="3" t="s">
        <v>157</v>
      </c>
      <c r="E24" s="3" t="s">
        <v>158</v>
      </c>
      <c r="F24" s="3" t="s">
        <v>155</v>
      </c>
      <c r="G24" s="9" t="s">
        <v>49</v>
      </c>
      <c r="H24" s="10"/>
      <c r="I24" s="11" t="s">
        <v>7</v>
      </c>
    </row>
    <row r="25" customFormat="false" ht="23.85" hidden="false" customHeight="false" outlineLevel="0" collapsed="false">
      <c r="A25" s="4" t="s">
        <v>159</v>
      </c>
      <c r="B25" s="3" t="s">
        <v>15</v>
      </c>
      <c r="C25" s="3" t="s">
        <v>16</v>
      </c>
      <c r="D25" s="3" t="s">
        <v>160</v>
      </c>
      <c r="E25" s="3" t="s">
        <v>154</v>
      </c>
      <c r="F25" s="3" t="s">
        <v>155</v>
      </c>
      <c r="G25" s="9" t="s">
        <v>49</v>
      </c>
      <c r="H25" s="10"/>
      <c r="I25" s="11" t="s">
        <v>7</v>
      </c>
    </row>
    <row r="26" customFormat="false" ht="23.85" hidden="false" customHeight="false" outlineLevel="0" collapsed="false">
      <c r="A26" s="4" t="s">
        <v>161</v>
      </c>
      <c r="B26" s="3" t="s">
        <v>15</v>
      </c>
      <c r="C26" s="3" t="s">
        <v>16</v>
      </c>
      <c r="D26" s="3" t="s">
        <v>162</v>
      </c>
      <c r="E26" s="3" t="s">
        <v>154</v>
      </c>
      <c r="F26" s="3" t="s">
        <v>163</v>
      </c>
      <c r="G26" s="9" t="s">
        <v>49</v>
      </c>
      <c r="H26" s="10"/>
      <c r="I26" s="11" t="s">
        <v>7</v>
      </c>
    </row>
    <row r="27" customFormat="false" ht="23.85" hidden="false" customHeight="false" outlineLevel="0" collapsed="false">
      <c r="A27" s="4" t="s">
        <v>164</v>
      </c>
      <c r="B27" s="3" t="s">
        <v>15</v>
      </c>
      <c r="C27" s="3" t="s">
        <v>16</v>
      </c>
      <c r="D27" s="3" t="s">
        <v>165</v>
      </c>
      <c r="E27" s="3" t="s">
        <v>166</v>
      </c>
      <c r="F27" s="3" t="s">
        <v>155</v>
      </c>
      <c r="G27" s="9" t="s">
        <v>49</v>
      </c>
      <c r="H27" s="10"/>
      <c r="I27" s="11" t="s">
        <v>7</v>
      </c>
    </row>
    <row r="28" customFormat="false" ht="23.85" hidden="false" customHeight="false" outlineLevel="0" collapsed="false">
      <c r="A28" s="4" t="s">
        <v>167</v>
      </c>
      <c r="B28" s="3" t="s">
        <v>15</v>
      </c>
      <c r="C28" s="3" t="s">
        <v>16</v>
      </c>
      <c r="D28" s="3" t="s">
        <v>168</v>
      </c>
      <c r="E28" s="3" t="s">
        <v>166</v>
      </c>
      <c r="F28" s="3" t="s">
        <v>155</v>
      </c>
      <c r="G28" s="9" t="s">
        <v>49</v>
      </c>
      <c r="H28" s="10"/>
      <c r="I28" s="11" t="s">
        <v>7</v>
      </c>
    </row>
    <row r="29" customFormat="false" ht="23.85" hidden="false" customHeight="false" outlineLevel="0" collapsed="false">
      <c r="A29" s="4" t="s">
        <v>169</v>
      </c>
      <c r="B29" s="3" t="s">
        <v>15</v>
      </c>
      <c r="C29" s="3" t="s">
        <v>16</v>
      </c>
      <c r="D29" s="3" t="s">
        <v>170</v>
      </c>
      <c r="E29" s="3" t="s">
        <v>171</v>
      </c>
      <c r="F29" s="3" t="s">
        <v>172</v>
      </c>
      <c r="G29" s="9" t="s">
        <v>49</v>
      </c>
      <c r="H29" s="10"/>
      <c r="I29" s="11" t="s">
        <v>7</v>
      </c>
    </row>
    <row r="30" customFormat="false" ht="23.85" hidden="false" customHeight="false" outlineLevel="0" collapsed="false">
      <c r="A30" s="4" t="s">
        <v>173</v>
      </c>
      <c r="B30" s="3" t="s">
        <v>15</v>
      </c>
      <c r="C30" s="3" t="s">
        <v>16</v>
      </c>
      <c r="D30" s="3" t="s">
        <v>174</v>
      </c>
      <c r="E30" s="3" t="s">
        <v>175</v>
      </c>
      <c r="F30" s="3" t="s">
        <v>176</v>
      </c>
      <c r="G30" s="9" t="s">
        <v>49</v>
      </c>
      <c r="H30" s="10"/>
      <c r="I30" s="11" t="s">
        <v>7</v>
      </c>
    </row>
    <row r="31" customFormat="false" ht="23.85" hidden="false" customHeight="false" outlineLevel="0" collapsed="false">
      <c r="A31" s="4" t="s">
        <v>177</v>
      </c>
      <c r="B31" s="3" t="s">
        <v>15</v>
      </c>
      <c r="C31" s="3" t="s">
        <v>16</v>
      </c>
      <c r="D31" s="3" t="s">
        <v>178</v>
      </c>
      <c r="E31" s="3" t="s">
        <v>179</v>
      </c>
      <c r="F31" s="3" t="s">
        <v>155</v>
      </c>
      <c r="G31" s="12" t="s">
        <v>51</v>
      </c>
      <c r="H31" s="10"/>
      <c r="I31" s="11" t="s">
        <v>7</v>
      </c>
    </row>
    <row r="32" customFormat="false" ht="23.85" hidden="false" customHeight="false" outlineLevel="0" collapsed="false">
      <c r="A32" s="4" t="s">
        <v>180</v>
      </c>
      <c r="B32" s="3" t="s">
        <v>15</v>
      </c>
      <c r="C32" s="3" t="s">
        <v>16</v>
      </c>
      <c r="D32" s="3" t="s">
        <v>181</v>
      </c>
      <c r="E32" s="3" t="s">
        <v>182</v>
      </c>
      <c r="F32" s="3" t="s">
        <v>183</v>
      </c>
      <c r="G32" s="9" t="s">
        <v>49</v>
      </c>
      <c r="H32" s="10"/>
      <c r="I32" s="11" t="s">
        <v>7</v>
      </c>
    </row>
    <row r="33" customFormat="false" ht="23.85" hidden="false" customHeight="false" outlineLevel="0" collapsed="false">
      <c r="A33" s="4" t="s">
        <v>184</v>
      </c>
      <c r="B33" s="3" t="s">
        <v>15</v>
      </c>
      <c r="C33" s="3" t="s">
        <v>16</v>
      </c>
      <c r="D33" s="3" t="s">
        <v>185</v>
      </c>
      <c r="E33" s="3" t="s">
        <v>186</v>
      </c>
      <c r="F33" s="3" t="s">
        <v>187</v>
      </c>
      <c r="G33" s="9" t="s">
        <v>49</v>
      </c>
      <c r="H33" s="10"/>
      <c r="I33" s="11" t="s">
        <v>7</v>
      </c>
    </row>
    <row r="34" customFormat="false" ht="23.85" hidden="false" customHeight="false" outlineLevel="0" collapsed="false">
      <c r="A34" s="4" t="s">
        <v>188</v>
      </c>
      <c r="B34" s="3" t="s">
        <v>15</v>
      </c>
      <c r="C34" s="3" t="s">
        <v>16</v>
      </c>
      <c r="D34" s="3" t="s">
        <v>189</v>
      </c>
      <c r="E34" s="3" t="s">
        <v>190</v>
      </c>
      <c r="F34" s="3" t="s">
        <v>191</v>
      </c>
      <c r="G34" s="9" t="s">
        <v>49</v>
      </c>
      <c r="H34" s="10"/>
      <c r="I34" s="11" t="s">
        <v>7</v>
      </c>
    </row>
    <row r="35" customFormat="false" ht="23.85" hidden="false" customHeight="false" outlineLevel="0" collapsed="false">
      <c r="A35" s="4" t="s">
        <v>192</v>
      </c>
      <c r="B35" s="3" t="s">
        <v>15</v>
      </c>
      <c r="C35" s="3" t="s">
        <v>16</v>
      </c>
      <c r="D35" s="3" t="s">
        <v>193</v>
      </c>
      <c r="E35" s="3" t="s">
        <v>166</v>
      </c>
      <c r="F35" s="3" t="s">
        <v>194</v>
      </c>
      <c r="G35" s="9" t="s">
        <v>49</v>
      </c>
      <c r="H35" s="10"/>
      <c r="I35" s="11" t="s">
        <v>7</v>
      </c>
    </row>
    <row r="36" customFormat="false" ht="23.85" hidden="false" customHeight="false" outlineLevel="0" collapsed="false">
      <c r="A36" s="4" t="s">
        <v>195</v>
      </c>
      <c r="B36" s="3" t="s">
        <v>15</v>
      </c>
      <c r="C36" s="3" t="s">
        <v>16</v>
      </c>
      <c r="D36" s="3" t="s">
        <v>196</v>
      </c>
      <c r="E36" s="3" t="s">
        <v>197</v>
      </c>
      <c r="F36" s="3" t="s">
        <v>198</v>
      </c>
      <c r="G36" s="12" t="s">
        <v>51</v>
      </c>
      <c r="H36" s="10"/>
      <c r="I36" s="11" t="s">
        <v>7</v>
      </c>
    </row>
    <row r="37" customFormat="false" ht="23.85" hidden="false" customHeight="false" outlineLevel="0" collapsed="false">
      <c r="A37" s="4" t="s">
        <v>199</v>
      </c>
      <c r="B37" s="3" t="s">
        <v>15</v>
      </c>
      <c r="C37" s="3" t="s">
        <v>16</v>
      </c>
      <c r="D37" s="3" t="s">
        <v>200</v>
      </c>
      <c r="E37" s="3" t="s">
        <v>201</v>
      </c>
      <c r="F37" s="3" t="s">
        <v>202</v>
      </c>
      <c r="G37" s="12" t="s">
        <v>51</v>
      </c>
      <c r="H37" s="10"/>
      <c r="I37" s="11" t="s">
        <v>7</v>
      </c>
    </row>
    <row r="38" customFormat="false" ht="23.85" hidden="false" customHeight="false" outlineLevel="0" collapsed="false">
      <c r="A38" s="4" t="s">
        <v>203</v>
      </c>
      <c r="B38" s="3" t="s">
        <v>15</v>
      </c>
      <c r="C38" s="3" t="s">
        <v>16</v>
      </c>
      <c r="D38" s="3" t="s">
        <v>204</v>
      </c>
      <c r="E38" s="3" t="s">
        <v>205</v>
      </c>
      <c r="F38" s="3" t="s">
        <v>206</v>
      </c>
      <c r="G38" s="13" t="s">
        <v>53</v>
      </c>
      <c r="H38" s="10"/>
      <c r="I38" s="11" t="s">
        <v>7</v>
      </c>
    </row>
    <row r="39" customFormat="false" ht="23.85" hidden="false" customHeight="false" outlineLevel="0" collapsed="false">
      <c r="A39" s="4" t="s">
        <v>207</v>
      </c>
      <c r="B39" s="3" t="s">
        <v>15</v>
      </c>
      <c r="C39" s="3" t="s">
        <v>16</v>
      </c>
      <c r="D39" s="3" t="s">
        <v>208</v>
      </c>
      <c r="E39" s="3" t="s">
        <v>209</v>
      </c>
      <c r="F39" s="3" t="s">
        <v>210</v>
      </c>
      <c r="G39" s="9" t="s">
        <v>49</v>
      </c>
      <c r="H39" s="10"/>
      <c r="I39" s="11" t="s">
        <v>7</v>
      </c>
    </row>
    <row r="40" customFormat="false" ht="23.85" hidden="false" customHeight="false" outlineLevel="0" collapsed="false">
      <c r="A40" s="4" t="s">
        <v>211</v>
      </c>
      <c r="B40" s="3" t="s">
        <v>15</v>
      </c>
      <c r="C40" s="3" t="s">
        <v>16</v>
      </c>
      <c r="D40" s="3" t="s">
        <v>212</v>
      </c>
      <c r="E40" s="3" t="s">
        <v>213</v>
      </c>
      <c r="F40" s="3" t="s">
        <v>155</v>
      </c>
      <c r="G40" s="14" t="s">
        <v>55</v>
      </c>
      <c r="H40" s="10"/>
      <c r="I40" s="11" t="s">
        <v>7</v>
      </c>
    </row>
    <row r="41" customFormat="false" ht="23.85" hidden="false" customHeight="false" outlineLevel="0" collapsed="false">
      <c r="A41" s="4" t="s">
        <v>214</v>
      </c>
      <c r="B41" s="3" t="s">
        <v>18</v>
      </c>
      <c r="C41" s="3" t="s">
        <v>19</v>
      </c>
      <c r="D41" s="3" t="s">
        <v>215</v>
      </c>
      <c r="E41" s="3" t="s">
        <v>216</v>
      </c>
      <c r="F41" s="3" t="s">
        <v>217</v>
      </c>
      <c r="G41" s="12" t="s">
        <v>51</v>
      </c>
      <c r="H41" s="10"/>
      <c r="I41" s="11" t="s">
        <v>7</v>
      </c>
    </row>
    <row r="42" customFormat="false" ht="23.85" hidden="false" customHeight="false" outlineLevel="0" collapsed="false">
      <c r="A42" s="4" t="s">
        <v>218</v>
      </c>
      <c r="B42" s="3" t="s">
        <v>18</v>
      </c>
      <c r="C42" s="3" t="s">
        <v>19</v>
      </c>
      <c r="D42" s="3" t="s">
        <v>219</v>
      </c>
      <c r="E42" s="3" t="s">
        <v>220</v>
      </c>
      <c r="F42" s="3" t="s">
        <v>221</v>
      </c>
      <c r="G42" s="9" t="s">
        <v>49</v>
      </c>
      <c r="H42" s="10"/>
      <c r="I42" s="11" t="s">
        <v>7</v>
      </c>
    </row>
    <row r="43" customFormat="false" ht="23.85" hidden="false" customHeight="false" outlineLevel="0" collapsed="false">
      <c r="A43" s="4" t="s">
        <v>222</v>
      </c>
      <c r="B43" s="3" t="s">
        <v>18</v>
      </c>
      <c r="C43" s="3" t="s">
        <v>19</v>
      </c>
      <c r="D43" s="3" t="s">
        <v>223</v>
      </c>
      <c r="E43" s="3" t="s">
        <v>224</v>
      </c>
      <c r="F43" s="3" t="s">
        <v>225</v>
      </c>
      <c r="G43" s="9" t="s">
        <v>49</v>
      </c>
      <c r="H43" s="10"/>
      <c r="I43" s="11" t="s">
        <v>7</v>
      </c>
    </row>
    <row r="44" customFormat="false" ht="23.85" hidden="false" customHeight="false" outlineLevel="0" collapsed="false">
      <c r="A44" s="4" t="s">
        <v>226</v>
      </c>
      <c r="B44" s="3" t="s">
        <v>18</v>
      </c>
      <c r="C44" s="3" t="s">
        <v>19</v>
      </c>
      <c r="D44" s="3" t="s">
        <v>227</v>
      </c>
      <c r="E44" s="3" t="s">
        <v>228</v>
      </c>
      <c r="F44" s="3" t="s">
        <v>225</v>
      </c>
      <c r="G44" s="9" t="s">
        <v>49</v>
      </c>
      <c r="H44" s="10"/>
      <c r="I44" s="11" t="s">
        <v>7</v>
      </c>
    </row>
    <row r="45" customFormat="false" ht="23.85" hidden="false" customHeight="false" outlineLevel="0" collapsed="false">
      <c r="A45" s="4" t="s">
        <v>229</v>
      </c>
      <c r="B45" s="3" t="s">
        <v>18</v>
      </c>
      <c r="C45" s="3" t="s">
        <v>19</v>
      </c>
      <c r="D45" s="3" t="s">
        <v>230</v>
      </c>
      <c r="E45" s="3" t="s">
        <v>231</v>
      </c>
      <c r="F45" s="3" t="s">
        <v>225</v>
      </c>
      <c r="G45" s="9" t="s">
        <v>49</v>
      </c>
      <c r="H45" s="10"/>
      <c r="I45" s="11" t="s">
        <v>7</v>
      </c>
    </row>
    <row r="46" customFormat="false" ht="23.85" hidden="false" customHeight="false" outlineLevel="0" collapsed="false">
      <c r="A46" s="4" t="s">
        <v>232</v>
      </c>
      <c r="B46" s="3" t="s">
        <v>18</v>
      </c>
      <c r="C46" s="3" t="s">
        <v>19</v>
      </c>
      <c r="D46" s="3" t="s">
        <v>233</v>
      </c>
      <c r="E46" s="3" t="s">
        <v>234</v>
      </c>
      <c r="F46" s="3" t="s">
        <v>235</v>
      </c>
      <c r="G46" s="13" t="s">
        <v>53</v>
      </c>
      <c r="H46" s="10"/>
      <c r="I46" s="11" t="s">
        <v>7</v>
      </c>
    </row>
    <row r="47" customFormat="false" ht="23.85" hidden="false" customHeight="false" outlineLevel="0" collapsed="false">
      <c r="A47" s="4" t="s">
        <v>236</v>
      </c>
      <c r="B47" s="3" t="s">
        <v>18</v>
      </c>
      <c r="C47" s="3" t="s">
        <v>19</v>
      </c>
      <c r="D47" s="3" t="s">
        <v>237</v>
      </c>
      <c r="E47" s="3" t="s">
        <v>234</v>
      </c>
      <c r="F47" s="3" t="s">
        <v>238</v>
      </c>
      <c r="G47" s="13" t="s">
        <v>53</v>
      </c>
      <c r="H47" s="10"/>
      <c r="I47" s="11" t="s">
        <v>7</v>
      </c>
    </row>
    <row r="48" customFormat="false" ht="23.85" hidden="false" customHeight="false" outlineLevel="0" collapsed="false">
      <c r="A48" s="4" t="s">
        <v>239</v>
      </c>
      <c r="B48" s="3" t="s">
        <v>18</v>
      </c>
      <c r="C48" s="3" t="s">
        <v>19</v>
      </c>
      <c r="D48" s="3" t="s">
        <v>240</v>
      </c>
      <c r="E48" s="3" t="s">
        <v>241</v>
      </c>
      <c r="F48" s="3" t="s">
        <v>242</v>
      </c>
      <c r="G48" s="9" t="s">
        <v>49</v>
      </c>
      <c r="H48" s="10"/>
      <c r="I48" s="11" t="s">
        <v>7</v>
      </c>
    </row>
    <row r="49" customFormat="false" ht="23.85" hidden="false" customHeight="false" outlineLevel="0" collapsed="false">
      <c r="A49" s="4" t="s">
        <v>243</v>
      </c>
      <c r="B49" s="3" t="s">
        <v>18</v>
      </c>
      <c r="C49" s="3" t="s">
        <v>19</v>
      </c>
      <c r="D49" s="3" t="s">
        <v>244</v>
      </c>
      <c r="E49" s="3" t="s">
        <v>245</v>
      </c>
      <c r="F49" s="3" t="s">
        <v>246</v>
      </c>
      <c r="G49" s="13" t="s">
        <v>53</v>
      </c>
      <c r="H49" s="10"/>
      <c r="I49" s="11" t="s">
        <v>7</v>
      </c>
    </row>
    <row r="50" customFormat="false" ht="23.85" hidden="false" customHeight="false" outlineLevel="0" collapsed="false">
      <c r="A50" s="4" t="s">
        <v>247</v>
      </c>
      <c r="B50" s="3" t="s">
        <v>18</v>
      </c>
      <c r="C50" s="3" t="s">
        <v>19</v>
      </c>
      <c r="D50" s="3" t="s">
        <v>248</v>
      </c>
      <c r="E50" s="3" t="s">
        <v>249</v>
      </c>
      <c r="F50" s="3" t="s">
        <v>250</v>
      </c>
      <c r="G50" s="9" t="s">
        <v>49</v>
      </c>
      <c r="H50" s="10"/>
      <c r="I50" s="11" t="s">
        <v>7</v>
      </c>
    </row>
    <row r="51" customFormat="false" ht="23.85" hidden="false" customHeight="false" outlineLevel="0" collapsed="false">
      <c r="A51" s="4" t="s">
        <v>251</v>
      </c>
      <c r="B51" s="3" t="s">
        <v>18</v>
      </c>
      <c r="C51" s="3" t="s">
        <v>19</v>
      </c>
      <c r="D51" s="3" t="s">
        <v>252</v>
      </c>
      <c r="E51" s="3" t="s">
        <v>253</v>
      </c>
      <c r="F51" s="3" t="s">
        <v>254</v>
      </c>
      <c r="G51" s="9" t="s">
        <v>49</v>
      </c>
      <c r="H51" s="10"/>
      <c r="I51" s="11" t="s">
        <v>7</v>
      </c>
    </row>
    <row r="52" customFormat="false" ht="23.85" hidden="false" customHeight="false" outlineLevel="0" collapsed="false">
      <c r="A52" s="4" t="s">
        <v>255</v>
      </c>
      <c r="B52" s="3" t="s">
        <v>18</v>
      </c>
      <c r="C52" s="3" t="s">
        <v>19</v>
      </c>
      <c r="D52" s="3" t="s">
        <v>256</v>
      </c>
      <c r="E52" s="3" t="s">
        <v>257</v>
      </c>
      <c r="F52" s="3" t="s">
        <v>258</v>
      </c>
      <c r="G52" s="9" t="s">
        <v>49</v>
      </c>
      <c r="H52" s="10"/>
      <c r="I52" s="11" t="s">
        <v>7</v>
      </c>
    </row>
    <row r="53" customFormat="false" ht="23.85" hidden="false" customHeight="false" outlineLevel="0" collapsed="false">
      <c r="A53" s="4" t="s">
        <v>259</v>
      </c>
      <c r="B53" s="3" t="s">
        <v>21</v>
      </c>
      <c r="C53" s="3" t="s">
        <v>22</v>
      </c>
      <c r="D53" s="3" t="s">
        <v>260</v>
      </c>
      <c r="E53" s="3" t="s">
        <v>261</v>
      </c>
      <c r="F53" s="3" t="s">
        <v>262</v>
      </c>
      <c r="G53" s="9" t="s">
        <v>49</v>
      </c>
      <c r="H53" s="10"/>
      <c r="I53" s="11" t="s">
        <v>7</v>
      </c>
    </row>
    <row r="54" customFormat="false" ht="23.85" hidden="false" customHeight="false" outlineLevel="0" collapsed="false">
      <c r="A54" s="4" t="s">
        <v>263</v>
      </c>
      <c r="B54" s="3" t="s">
        <v>21</v>
      </c>
      <c r="C54" s="3" t="s">
        <v>22</v>
      </c>
      <c r="D54" s="3" t="s">
        <v>264</v>
      </c>
      <c r="E54" s="3" t="s">
        <v>265</v>
      </c>
      <c r="F54" s="3" t="s">
        <v>266</v>
      </c>
      <c r="G54" s="9" t="s">
        <v>49</v>
      </c>
      <c r="H54" s="10"/>
      <c r="I54" s="11" t="s">
        <v>7</v>
      </c>
    </row>
    <row r="55" customFormat="false" ht="23.85" hidden="false" customHeight="false" outlineLevel="0" collapsed="false">
      <c r="A55" s="4" t="s">
        <v>267</v>
      </c>
      <c r="B55" s="3" t="s">
        <v>21</v>
      </c>
      <c r="C55" s="3" t="s">
        <v>22</v>
      </c>
      <c r="D55" s="3" t="s">
        <v>268</v>
      </c>
      <c r="E55" s="3" t="s">
        <v>269</v>
      </c>
      <c r="F55" s="3" t="s">
        <v>270</v>
      </c>
      <c r="G55" s="9" t="s">
        <v>49</v>
      </c>
      <c r="H55" s="10"/>
      <c r="I55" s="11" t="s">
        <v>7</v>
      </c>
    </row>
    <row r="56" customFormat="false" ht="23.85" hidden="false" customHeight="false" outlineLevel="0" collapsed="false">
      <c r="A56" s="4" t="s">
        <v>271</v>
      </c>
      <c r="B56" s="3" t="s">
        <v>21</v>
      </c>
      <c r="C56" s="3" t="s">
        <v>22</v>
      </c>
      <c r="D56" s="3" t="s">
        <v>272</v>
      </c>
      <c r="E56" s="3" t="s">
        <v>273</v>
      </c>
      <c r="F56" s="3" t="s">
        <v>274</v>
      </c>
      <c r="G56" s="9" t="s">
        <v>49</v>
      </c>
      <c r="H56" s="10"/>
      <c r="I56" s="11" t="s">
        <v>7</v>
      </c>
    </row>
    <row r="57" customFormat="false" ht="23.85" hidden="false" customHeight="false" outlineLevel="0" collapsed="false">
      <c r="A57" s="4" t="s">
        <v>275</v>
      </c>
      <c r="B57" s="3" t="s">
        <v>21</v>
      </c>
      <c r="C57" s="3" t="s">
        <v>22</v>
      </c>
      <c r="D57" s="3" t="s">
        <v>276</v>
      </c>
      <c r="E57" s="3" t="s">
        <v>277</v>
      </c>
      <c r="F57" s="3" t="s">
        <v>278</v>
      </c>
      <c r="G57" s="9" t="s">
        <v>49</v>
      </c>
      <c r="H57" s="10"/>
      <c r="I57" s="11" t="s">
        <v>7</v>
      </c>
    </row>
    <row r="58" customFormat="false" ht="23.85" hidden="false" customHeight="false" outlineLevel="0" collapsed="false">
      <c r="A58" s="4" t="s">
        <v>279</v>
      </c>
      <c r="B58" s="3" t="s">
        <v>21</v>
      </c>
      <c r="C58" s="3" t="s">
        <v>22</v>
      </c>
      <c r="D58" s="3" t="s">
        <v>280</v>
      </c>
      <c r="E58" s="3" t="s">
        <v>281</v>
      </c>
      <c r="F58" s="3" t="s">
        <v>282</v>
      </c>
      <c r="G58" s="9" t="s">
        <v>49</v>
      </c>
      <c r="H58" s="10"/>
      <c r="I58" s="11" t="s">
        <v>7</v>
      </c>
    </row>
    <row r="59" customFormat="false" ht="23.85" hidden="false" customHeight="false" outlineLevel="0" collapsed="false">
      <c r="A59" s="4" t="s">
        <v>283</v>
      </c>
      <c r="B59" s="3" t="s">
        <v>21</v>
      </c>
      <c r="C59" s="3" t="s">
        <v>22</v>
      </c>
      <c r="D59" s="3" t="s">
        <v>284</v>
      </c>
      <c r="E59" s="3" t="s">
        <v>285</v>
      </c>
      <c r="F59" s="3" t="s">
        <v>155</v>
      </c>
      <c r="G59" s="12" t="s">
        <v>51</v>
      </c>
      <c r="H59" s="10"/>
      <c r="I59" s="11" t="s">
        <v>7</v>
      </c>
    </row>
    <row r="60" customFormat="false" ht="23.85" hidden="false" customHeight="false" outlineLevel="0" collapsed="false">
      <c r="A60" s="4" t="s">
        <v>286</v>
      </c>
      <c r="B60" s="3" t="s">
        <v>21</v>
      </c>
      <c r="C60" s="3" t="s">
        <v>22</v>
      </c>
      <c r="D60" s="3" t="s">
        <v>287</v>
      </c>
      <c r="E60" s="3" t="s">
        <v>288</v>
      </c>
      <c r="F60" s="3" t="s">
        <v>155</v>
      </c>
      <c r="G60" s="9" t="s">
        <v>49</v>
      </c>
      <c r="H60" s="10"/>
      <c r="I60" s="11" t="s">
        <v>7</v>
      </c>
    </row>
    <row r="61" customFormat="false" ht="23.85" hidden="false" customHeight="false" outlineLevel="0" collapsed="false">
      <c r="A61" s="4" t="s">
        <v>289</v>
      </c>
      <c r="B61" s="3" t="s">
        <v>21</v>
      </c>
      <c r="C61" s="3" t="s">
        <v>22</v>
      </c>
      <c r="D61" s="3" t="s">
        <v>290</v>
      </c>
      <c r="E61" s="3" t="s">
        <v>291</v>
      </c>
      <c r="F61" s="3" t="s">
        <v>292</v>
      </c>
      <c r="G61" s="9" t="s">
        <v>49</v>
      </c>
      <c r="H61" s="10"/>
      <c r="I61" s="11" t="s">
        <v>7</v>
      </c>
    </row>
    <row r="62" customFormat="false" ht="23.85" hidden="false" customHeight="false" outlineLevel="0" collapsed="false">
      <c r="A62" s="4" t="s">
        <v>293</v>
      </c>
      <c r="B62" s="3" t="s">
        <v>21</v>
      </c>
      <c r="C62" s="3" t="s">
        <v>22</v>
      </c>
      <c r="D62" s="3" t="s">
        <v>294</v>
      </c>
      <c r="E62" s="3" t="s">
        <v>295</v>
      </c>
      <c r="F62" s="3" t="s">
        <v>296</v>
      </c>
      <c r="G62" s="9" t="s">
        <v>49</v>
      </c>
      <c r="H62" s="10"/>
      <c r="I62" s="11" t="s">
        <v>7</v>
      </c>
    </row>
    <row r="63" customFormat="false" ht="23.85" hidden="false" customHeight="false" outlineLevel="0" collapsed="false">
      <c r="A63" s="4" t="s">
        <v>297</v>
      </c>
      <c r="B63" s="3" t="s">
        <v>21</v>
      </c>
      <c r="C63" s="3" t="s">
        <v>22</v>
      </c>
      <c r="D63" s="3" t="s">
        <v>298</v>
      </c>
      <c r="E63" s="3" t="s">
        <v>299</v>
      </c>
      <c r="F63" s="3" t="s">
        <v>300</v>
      </c>
      <c r="G63" s="12" t="s">
        <v>51</v>
      </c>
      <c r="H63" s="10"/>
      <c r="I63" s="11" t="s">
        <v>7</v>
      </c>
    </row>
    <row r="64" customFormat="false" ht="23.85" hidden="false" customHeight="false" outlineLevel="0" collapsed="false">
      <c r="A64" s="4" t="s">
        <v>301</v>
      </c>
      <c r="B64" s="3" t="s">
        <v>21</v>
      </c>
      <c r="C64" s="3" t="s">
        <v>22</v>
      </c>
      <c r="D64" s="3" t="s">
        <v>302</v>
      </c>
      <c r="E64" s="3" t="s">
        <v>303</v>
      </c>
      <c r="F64" s="3" t="s">
        <v>304</v>
      </c>
      <c r="G64" s="9" t="s">
        <v>49</v>
      </c>
      <c r="H64" s="10"/>
      <c r="I64" s="11" t="s">
        <v>7</v>
      </c>
    </row>
    <row r="65" customFormat="false" ht="23.85" hidden="false" customHeight="false" outlineLevel="0" collapsed="false">
      <c r="A65" s="4" t="s">
        <v>305</v>
      </c>
      <c r="B65" s="3" t="s">
        <v>21</v>
      </c>
      <c r="C65" s="3" t="s">
        <v>22</v>
      </c>
      <c r="D65" s="3" t="s">
        <v>306</v>
      </c>
      <c r="E65" s="3" t="s">
        <v>307</v>
      </c>
      <c r="F65" s="3" t="s">
        <v>308</v>
      </c>
      <c r="G65" s="9" t="s">
        <v>49</v>
      </c>
      <c r="H65" s="10"/>
      <c r="I65" s="11" t="s">
        <v>7</v>
      </c>
    </row>
    <row r="66" customFormat="false" ht="23.85" hidden="false" customHeight="false" outlineLevel="0" collapsed="false">
      <c r="A66" s="4" t="s">
        <v>309</v>
      </c>
      <c r="B66" s="3" t="s">
        <v>24</v>
      </c>
      <c r="C66" s="3" t="s">
        <v>25</v>
      </c>
      <c r="D66" s="3" t="s">
        <v>310</v>
      </c>
      <c r="E66" s="3" t="s">
        <v>311</v>
      </c>
      <c r="F66" s="3" t="s">
        <v>312</v>
      </c>
      <c r="G66" s="9" t="s">
        <v>49</v>
      </c>
      <c r="H66" s="10"/>
      <c r="I66" s="11" t="s">
        <v>7</v>
      </c>
    </row>
    <row r="67" customFormat="false" ht="23.85" hidden="false" customHeight="false" outlineLevel="0" collapsed="false">
      <c r="A67" s="4" t="s">
        <v>313</v>
      </c>
      <c r="B67" s="3" t="s">
        <v>24</v>
      </c>
      <c r="C67" s="3" t="s">
        <v>25</v>
      </c>
      <c r="D67" s="3" t="s">
        <v>314</v>
      </c>
      <c r="E67" s="3" t="s">
        <v>315</v>
      </c>
      <c r="F67" s="3" t="s">
        <v>316</v>
      </c>
      <c r="G67" s="9" t="s">
        <v>49</v>
      </c>
      <c r="H67" s="10"/>
      <c r="I67" s="11" t="s">
        <v>7</v>
      </c>
    </row>
    <row r="68" customFormat="false" ht="23.85" hidden="false" customHeight="false" outlineLevel="0" collapsed="false">
      <c r="A68" s="4" t="s">
        <v>317</v>
      </c>
      <c r="B68" s="3" t="s">
        <v>24</v>
      </c>
      <c r="C68" s="3" t="s">
        <v>25</v>
      </c>
      <c r="D68" s="3" t="s">
        <v>318</v>
      </c>
      <c r="E68" s="3" t="s">
        <v>319</v>
      </c>
      <c r="F68" s="3" t="s">
        <v>320</v>
      </c>
      <c r="G68" s="9" t="s">
        <v>49</v>
      </c>
      <c r="H68" s="10"/>
      <c r="I68" s="11" t="s">
        <v>7</v>
      </c>
    </row>
    <row r="69" customFormat="false" ht="15" hidden="false" customHeight="false" outlineLevel="0" collapsed="false">
      <c r="A69" s="4" t="s">
        <v>321</v>
      </c>
      <c r="B69" s="3" t="s">
        <v>24</v>
      </c>
      <c r="C69" s="3" t="s">
        <v>25</v>
      </c>
      <c r="D69" s="3" t="s">
        <v>322</v>
      </c>
      <c r="E69" s="3" t="s">
        <v>323</v>
      </c>
      <c r="F69" s="3" t="s">
        <v>324</v>
      </c>
      <c r="G69" s="9" t="s">
        <v>49</v>
      </c>
      <c r="H69" s="10"/>
      <c r="I69" s="11" t="s">
        <v>7</v>
      </c>
    </row>
    <row r="70" customFormat="false" ht="23.85" hidden="false" customHeight="false" outlineLevel="0" collapsed="false">
      <c r="A70" s="4" t="s">
        <v>325</v>
      </c>
      <c r="B70" s="3" t="s">
        <v>24</v>
      </c>
      <c r="C70" s="3" t="s">
        <v>25</v>
      </c>
      <c r="D70" s="3" t="s">
        <v>326</v>
      </c>
      <c r="E70" s="3" t="s">
        <v>327</v>
      </c>
      <c r="F70" s="3" t="s">
        <v>328</v>
      </c>
      <c r="G70" s="9" t="s">
        <v>49</v>
      </c>
      <c r="H70" s="10"/>
      <c r="I70" s="11" t="s">
        <v>7</v>
      </c>
    </row>
    <row r="71" customFormat="false" ht="23.85" hidden="false" customHeight="false" outlineLevel="0" collapsed="false">
      <c r="A71" s="4" t="s">
        <v>329</v>
      </c>
      <c r="B71" s="3" t="s">
        <v>24</v>
      </c>
      <c r="C71" s="3" t="s">
        <v>25</v>
      </c>
      <c r="D71" s="3" t="s">
        <v>330</v>
      </c>
      <c r="E71" s="3" t="s">
        <v>331</v>
      </c>
      <c r="F71" s="3" t="s">
        <v>332</v>
      </c>
      <c r="G71" s="9" t="s">
        <v>49</v>
      </c>
      <c r="H71" s="10"/>
      <c r="I71" s="11" t="s">
        <v>7</v>
      </c>
    </row>
    <row r="72" customFormat="false" ht="23.85" hidden="false" customHeight="false" outlineLevel="0" collapsed="false">
      <c r="A72" s="4" t="s">
        <v>333</v>
      </c>
      <c r="B72" s="3" t="s">
        <v>24</v>
      </c>
      <c r="C72" s="3" t="s">
        <v>25</v>
      </c>
      <c r="D72" s="3" t="s">
        <v>334</v>
      </c>
      <c r="E72" s="3" t="s">
        <v>335</v>
      </c>
      <c r="F72" s="3" t="s">
        <v>336</v>
      </c>
      <c r="G72" s="9" t="s">
        <v>49</v>
      </c>
      <c r="H72" s="10"/>
      <c r="I72" s="11" t="s">
        <v>7</v>
      </c>
    </row>
    <row r="73" customFormat="false" ht="23.85" hidden="false" customHeight="false" outlineLevel="0" collapsed="false">
      <c r="A73" s="4" t="s">
        <v>337</v>
      </c>
      <c r="B73" s="3" t="s">
        <v>24</v>
      </c>
      <c r="C73" s="3" t="s">
        <v>25</v>
      </c>
      <c r="D73" s="3" t="s">
        <v>338</v>
      </c>
      <c r="E73" s="3" t="s">
        <v>339</v>
      </c>
      <c r="F73" s="3" t="s">
        <v>340</v>
      </c>
      <c r="G73" s="9" t="s">
        <v>49</v>
      </c>
      <c r="H73" s="10"/>
      <c r="I73" s="11" t="s">
        <v>7</v>
      </c>
    </row>
    <row r="74" customFormat="false" ht="23.85" hidden="false" customHeight="false" outlineLevel="0" collapsed="false">
      <c r="A74" s="4" t="s">
        <v>341</v>
      </c>
      <c r="B74" s="3" t="s">
        <v>24</v>
      </c>
      <c r="C74" s="3" t="s">
        <v>25</v>
      </c>
      <c r="D74" s="3" t="s">
        <v>342</v>
      </c>
      <c r="E74" s="3" t="s">
        <v>343</v>
      </c>
      <c r="F74" s="3" t="s">
        <v>344</v>
      </c>
      <c r="G74" s="9" t="s">
        <v>49</v>
      </c>
      <c r="H74" s="10"/>
      <c r="I74" s="11" t="s">
        <v>7</v>
      </c>
    </row>
    <row r="75" customFormat="false" ht="23.85" hidden="false" customHeight="false" outlineLevel="0" collapsed="false">
      <c r="A75" s="4" t="s">
        <v>345</v>
      </c>
      <c r="B75" s="3" t="s">
        <v>24</v>
      </c>
      <c r="C75" s="3" t="s">
        <v>25</v>
      </c>
      <c r="D75" s="3" t="s">
        <v>346</v>
      </c>
      <c r="E75" s="3" t="s">
        <v>347</v>
      </c>
      <c r="F75" s="3" t="s">
        <v>348</v>
      </c>
      <c r="G75" s="9" t="s">
        <v>49</v>
      </c>
      <c r="H75" s="10"/>
      <c r="I75" s="11" t="s">
        <v>7</v>
      </c>
    </row>
    <row r="76" customFormat="false" ht="15" hidden="false" customHeight="false" outlineLevel="0" collapsed="false">
      <c r="A76" s="4" t="s">
        <v>349</v>
      </c>
      <c r="B76" s="3" t="s">
        <v>24</v>
      </c>
      <c r="C76" s="3" t="s">
        <v>25</v>
      </c>
      <c r="D76" s="3" t="s">
        <v>350</v>
      </c>
      <c r="E76" s="3" t="s">
        <v>351</v>
      </c>
      <c r="F76" s="3" t="s">
        <v>352</v>
      </c>
      <c r="G76" s="13" t="s">
        <v>53</v>
      </c>
      <c r="H76" s="10"/>
      <c r="I76" s="11" t="s">
        <v>7</v>
      </c>
    </row>
    <row r="77" customFormat="false" ht="23.85" hidden="false" customHeight="false" outlineLevel="0" collapsed="false">
      <c r="A77" s="4" t="s">
        <v>353</v>
      </c>
      <c r="B77" s="3" t="s">
        <v>24</v>
      </c>
      <c r="C77" s="3" t="s">
        <v>25</v>
      </c>
      <c r="D77" s="3" t="s">
        <v>354</v>
      </c>
      <c r="E77" s="3" t="s">
        <v>355</v>
      </c>
      <c r="F77" s="3" t="s">
        <v>356</v>
      </c>
      <c r="G77" s="12" t="s">
        <v>51</v>
      </c>
      <c r="H77" s="10"/>
      <c r="I77" s="11" t="s">
        <v>7</v>
      </c>
    </row>
    <row r="78" customFormat="false" ht="15" hidden="false" customHeight="false" outlineLevel="0" collapsed="false">
      <c r="A78" s="4" t="s">
        <v>357</v>
      </c>
      <c r="B78" s="3" t="s">
        <v>24</v>
      </c>
      <c r="C78" s="3" t="s">
        <v>25</v>
      </c>
      <c r="D78" s="3" t="s">
        <v>358</v>
      </c>
      <c r="E78" s="3" t="s">
        <v>359</v>
      </c>
      <c r="F78" s="3" t="s">
        <v>360</v>
      </c>
      <c r="G78" s="12" t="s">
        <v>51</v>
      </c>
      <c r="H78" s="10"/>
      <c r="I78" s="11" t="s">
        <v>7</v>
      </c>
    </row>
    <row r="79" customFormat="false" ht="15" hidden="false" customHeight="false" outlineLevel="0" collapsed="false">
      <c r="A79" s="4" t="s">
        <v>361</v>
      </c>
      <c r="B79" s="3" t="s">
        <v>24</v>
      </c>
      <c r="C79" s="3" t="s">
        <v>25</v>
      </c>
      <c r="D79" s="3" t="s">
        <v>362</v>
      </c>
      <c r="E79" s="3" t="s">
        <v>363</v>
      </c>
      <c r="F79" s="3" t="s">
        <v>155</v>
      </c>
      <c r="G79" s="9" t="s">
        <v>49</v>
      </c>
      <c r="H79" s="10"/>
      <c r="I79" s="11" t="s">
        <v>7</v>
      </c>
    </row>
    <row r="80" customFormat="false" ht="23.85" hidden="false" customHeight="false" outlineLevel="0" collapsed="false">
      <c r="A80" s="4" t="s">
        <v>364</v>
      </c>
      <c r="B80" s="3" t="s">
        <v>24</v>
      </c>
      <c r="C80" s="3" t="s">
        <v>25</v>
      </c>
      <c r="D80" s="3" t="s">
        <v>365</v>
      </c>
      <c r="E80" s="3" t="s">
        <v>366</v>
      </c>
      <c r="F80" s="3" t="s">
        <v>367</v>
      </c>
      <c r="G80" s="12" t="s">
        <v>51</v>
      </c>
      <c r="H80" s="10"/>
      <c r="I80" s="11" t="s">
        <v>7</v>
      </c>
    </row>
    <row r="81" customFormat="false" ht="23.85" hidden="false" customHeight="false" outlineLevel="0" collapsed="false">
      <c r="A81" s="4" t="s">
        <v>368</v>
      </c>
      <c r="B81" s="3" t="s">
        <v>24</v>
      </c>
      <c r="C81" s="3" t="s">
        <v>25</v>
      </c>
      <c r="D81" s="3" t="s">
        <v>369</v>
      </c>
      <c r="E81" s="3" t="s">
        <v>370</v>
      </c>
      <c r="F81" s="3" t="s">
        <v>371</v>
      </c>
      <c r="G81" s="12" t="s">
        <v>51</v>
      </c>
      <c r="H81" s="10"/>
      <c r="I81" s="11" t="s">
        <v>7</v>
      </c>
    </row>
    <row r="82" customFormat="false" ht="15" hidden="false" customHeight="false" outlineLevel="0" collapsed="false">
      <c r="A82" s="4" t="s">
        <v>372</v>
      </c>
      <c r="B82" s="3" t="s">
        <v>24</v>
      </c>
      <c r="C82" s="3" t="s">
        <v>25</v>
      </c>
      <c r="D82" s="3" t="s">
        <v>373</v>
      </c>
      <c r="E82" s="3" t="s">
        <v>374</v>
      </c>
      <c r="F82" s="3" t="s">
        <v>375</v>
      </c>
      <c r="G82" s="12" t="s">
        <v>51</v>
      </c>
      <c r="H82" s="10"/>
      <c r="I82" s="11" t="s">
        <v>7</v>
      </c>
    </row>
    <row r="83" customFormat="false" ht="15" hidden="false" customHeight="false" outlineLevel="0" collapsed="false">
      <c r="A83" s="4" t="s">
        <v>376</v>
      </c>
      <c r="B83" s="3" t="s">
        <v>24</v>
      </c>
      <c r="C83" s="3" t="s">
        <v>25</v>
      </c>
      <c r="D83" s="3" t="s">
        <v>377</v>
      </c>
      <c r="E83" s="3" t="s">
        <v>378</v>
      </c>
      <c r="F83" s="3" t="s">
        <v>379</v>
      </c>
      <c r="G83" s="9" t="s">
        <v>49</v>
      </c>
      <c r="H83" s="10"/>
      <c r="I83" s="11" t="s">
        <v>7</v>
      </c>
    </row>
    <row r="84" customFormat="false" ht="35.05" hidden="false" customHeight="false" outlineLevel="0" collapsed="false">
      <c r="A84" s="4" t="s">
        <v>380</v>
      </c>
      <c r="B84" s="3" t="s">
        <v>27</v>
      </c>
      <c r="C84" s="3" t="s">
        <v>28</v>
      </c>
      <c r="D84" s="3" t="s">
        <v>381</v>
      </c>
      <c r="E84" s="3" t="s">
        <v>382</v>
      </c>
      <c r="F84" s="3" t="s">
        <v>383</v>
      </c>
      <c r="G84" s="9" t="s">
        <v>49</v>
      </c>
      <c r="H84" s="10"/>
      <c r="I84" s="11" t="s">
        <v>7</v>
      </c>
    </row>
    <row r="85" customFormat="false" ht="23.85" hidden="false" customHeight="false" outlineLevel="0" collapsed="false">
      <c r="A85" s="4" t="s">
        <v>384</v>
      </c>
      <c r="B85" s="3" t="s">
        <v>27</v>
      </c>
      <c r="C85" s="3" t="s">
        <v>28</v>
      </c>
      <c r="D85" s="3" t="s">
        <v>385</v>
      </c>
      <c r="E85" s="3" t="s">
        <v>386</v>
      </c>
      <c r="F85" s="3" t="s">
        <v>387</v>
      </c>
      <c r="G85" s="9" t="s">
        <v>49</v>
      </c>
      <c r="H85" s="10"/>
      <c r="I85" s="11" t="s">
        <v>7</v>
      </c>
    </row>
    <row r="86" customFormat="false" ht="23.85" hidden="false" customHeight="false" outlineLevel="0" collapsed="false">
      <c r="A86" s="4" t="s">
        <v>388</v>
      </c>
      <c r="B86" s="3" t="s">
        <v>27</v>
      </c>
      <c r="C86" s="3" t="s">
        <v>28</v>
      </c>
      <c r="D86" s="3" t="s">
        <v>389</v>
      </c>
      <c r="E86" s="3" t="s">
        <v>390</v>
      </c>
      <c r="F86" s="3" t="s">
        <v>391</v>
      </c>
      <c r="G86" s="9" t="s">
        <v>49</v>
      </c>
      <c r="H86" s="10"/>
      <c r="I86" s="11" t="s">
        <v>7</v>
      </c>
    </row>
    <row r="87" customFormat="false" ht="23.85" hidden="false" customHeight="false" outlineLevel="0" collapsed="false">
      <c r="A87" s="4" t="s">
        <v>392</v>
      </c>
      <c r="B87" s="3" t="s">
        <v>27</v>
      </c>
      <c r="C87" s="3" t="s">
        <v>28</v>
      </c>
      <c r="D87" s="3" t="s">
        <v>393</v>
      </c>
      <c r="E87" s="3" t="s">
        <v>394</v>
      </c>
      <c r="F87" s="3" t="s">
        <v>395</v>
      </c>
      <c r="G87" s="9" t="s">
        <v>49</v>
      </c>
      <c r="H87" s="10"/>
      <c r="I87" s="11" t="s">
        <v>7</v>
      </c>
    </row>
    <row r="88" customFormat="false" ht="23.85" hidden="false" customHeight="false" outlineLevel="0" collapsed="false">
      <c r="A88" s="4" t="s">
        <v>396</v>
      </c>
      <c r="B88" s="3" t="s">
        <v>27</v>
      </c>
      <c r="C88" s="3" t="s">
        <v>28</v>
      </c>
      <c r="D88" s="3" t="s">
        <v>397</v>
      </c>
      <c r="E88" s="3" t="s">
        <v>398</v>
      </c>
      <c r="F88" s="3" t="s">
        <v>399</v>
      </c>
      <c r="G88" s="9" t="s">
        <v>49</v>
      </c>
      <c r="H88" s="10"/>
      <c r="I88" s="11" t="s">
        <v>7</v>
      </c>
    </row>
    <row r="89" customFormat="false" ht="23.85" hidden="false" customHeight="false" outlineLevel="0" collapsed="false">
      <c r="A89" s="4" t="s">
        <v>400</v>
      </c>
      <c r="B89" s="3" t="s">
        <v>27</v>
      </c>
      <c r="C89" s="3" t="s">
        <v>28</v>
      </c>
      <c r="D89" s="3" t="s">
        <v>401</v>
      </c>
      <c r="E89" s="3" t="s">
        <v>402</v>
      </c>
      <c r="F89" s="3" t="s">
        <v>403</v>
      </c>
      <c r="G89" s="12" t="s">
        <v>51</v>
      </c>
      <c r="H89" s="10"/>
      <c r="I89" s="11" t="s">
        <v>7</v>
      </c>
    </row>
    <row r="90" customFormat="false" ht="23.85" hidden="false" customHeight="false" outlineLevel="0" collapsed="false">
      <c r="A90" s="4" t="s">
        <v>404</v>
      </c>
      <c r="B90" s="3" t="s">
        <v>27</v>
      </c>
      <c r="C90" s="3" t="s">
        <v>28</v>
      </c>
      <c r="D90" s="3" t="s">
        <v>405</v>
      </c>
      <c r="E90" s="3" t="s">
        <v>406</v>
      </c>
      <c r="F90" s="3" t="s">
        <v>407</v>
      </c>
      <c r="G90" s="9" t="s">
        <v>49</v>
      </c>
      <c r="H90" s="10"/>
      <c r="I90" s="11" t="s">
        <v>7</v>
      </c>
    </row>
    <row r="91" customFormat="false" ht="23.85" hidden="false" customHeight="false" outlineLevel="0" collapsed="false">
      <c r="A91" s="4" t="s">
        <v>408</v>
      </c>
      <c r="B91" s="3" t="s">
        <v>27</v>
      </c>
      <c r="C91" s="3" t="s">
        <v>28</v>
      </c>
      <c r="D91" s="3" t="s">
        <v>409</v>
      </c>
      <c r="E91" s="3" t="s">
        <v>410</v>
      </c>
      <c r="F91" s="3" t="s">
        <v>411</v>
      </c>
      <c r="G91" s="12" t="s">
        <v>51</v>
      </c>
      <c r="H91" s="10"/>
      <c r="I91" s="11" t="s">
        <v>7</v>
      </c>
    </row>
    <row r="92" customFormat="false" ht="23.85" hidden="false" customHeight="false" outlineLevel="0" collapsed="false">
      <c r="A92" s="4" t="s">
        <v>412</v>
      </c>
      <c r="B92" s="3" t="s">
        <v>27</v>
      </c>
      <c r="C92" s="3" t="s">
        <v>28</v>
      </c>
      <c r="D92" s="3" t="s">
        <v>413</v>
      </c>
      <c r="E92" s="3" t="s">
        <v>414</v>
      </c>
      <c r="F92" s="3" t="s">
        <v>415</v>
      </c>
      <c r="G92" s="9" t="s">
        <v>49</v>
      </c>
      <c r="H92" s="10"/>
      <c r="I92" s="11" t="s">
        <v>7</v>
      </c>
    </row>
    <row r="93" customFormat="false" ht="23.85" hidden="false" customHeight="false" outlineLevel="0" collapsed="false">
      <c r="A93" s="4" t="s">
        <v>416</v>
      </c>
      <c r="B93" s="3" t="s">
        <v>27</v>
      </c>
      <c r="C93" s="3" t="s">
        <v>28</v>
      </c>
      <c r="D93" s="3" t="s">
        <v>417</v>
      </c>
      <c r="E93" s="3" t="s">
        <v>418</v>
      </c>
      <c r="F93" s="3" t="s">
        <v>419</v>
      </c>
      <c r="G93" s="9" t="s">
        <v>49</v>
      </c>
      <c r="H93" s="10"/>
      <c r="I93" s="11" t="s">
        <v>7</v>
      </c>
    </row>
    <row r="94" customFormat="false" ht="23.85" hidden="false" customHeight="false" outlineLevel="0" collapsed="false">
      <c r="A94" s="4" t="s">
        <v>420</v>
      </c>
      <c r="B94" s="3" t="s">
        <v>27</v>
      </c>
      <c r="C94" s="3" t="s">
        <v>28</v>
      </c>
      <c r="D94" s="3" t="s">
        <v>421</v>
      </c>
      <c r="E94" s="3" t="s">
        <v>422</v>
      </c>
      <c r="F94" s="3" t="s">
        <v>423</v>
      </c>
      <c r="G94" s="9" t="s">
        <v>49</v>
      </c>
      <c r="H94" s="10"/>
      <c r="I94" s="11" t="s">
        <v>7</v>
      </c>
    </row>
    <row r="95" customFormat="false" ht="23.85" hidden="false" customHeight="false" outlineLevel="0" collapsed="false">
      <c r="A95" s="4" t="s">
        <v>424</v>
      </c>
      <c r="B95" s="3" t="s">
        <v>27</v>
      </c>
      <c r="C95" s="3" t="s">
        <v>28</v>
      </c>
      <c r="D95" s="3" t="s">
        <v>425</v>
      </c>
      <c r="E95" s="3" t="s">
        <v>426</v>
      </c>
      <c r="F95" s="3" t="s">
        <v>427</v>
      </c>
      <c r="G95" s="9" t="s">
        <v>49</v>
      </c>
      <c r="H95" s="10"/>
      <c r="I95" s="11" t="s">
        <v>7</v>
      </c>
    </row>
    <row r="96" customFormat="false" ht="23.85" hidden="false" customHeight="false" outlineLevel="0" collapsed="false">
      <c r="A96" s="4" t="s">
        <v>428</v>
      </c>
      <c r="B96" s="3" t="s">
        <v>27</v>
      </c>
      <c r="C96" s="3" t="s">
        <v>28</v>
      </c>
      <c r="D96" s="3" t="s">
        <v>429</v>
      </c>
      <c r="E96" s="3" t="s">
        <v>430</v>
      </c>
      <c r="F96" s="3" t="s">
        <v>431</v>
      </c>
      <c r="G96" s="9" t="s">
        <v>49</v>
      </c>
      <c r="H96" s="10"/>
      <c r="I96" s="11" t="s">
        <v>7</v>
      </c>
    </row>
    <row r="97" customFormat="false" ht="23.85" hidden="false" customHeight="false" outlineLevel="0" collapsed="false">
      <c r="A97" s="4" t="s">
        <v>432</v>
      </c>
      <c r="B97" s="3" t="s">
        <v>27</v>
      </c>
      <c r="C97" s="3" t="s">
        <v>28</v>
      </c>
      <c r="D97" s="3" t="s">
        <v>433</v>
      </c>
      <c r="E97" s="3" t="s">
        <v>434</v>
      </c>
      <c r="F97" s="3" t="s">
        <v>262</v>
      </c>
      <c r="G97" s="9" t="s">
        <v>49</v>
      </c>
      <c r="H97" s="10"/>
      <c r="I97" s="11" t="s">
        <v>7</v>
      </c>
    </row>
    <row r="98" customFormat="false" ht="23.85" hidden="false" customHeight="false" outlineLevel="0" collapsed="false">
      <c r="A98" s="4" t="s">
        <v>435</v>
      </c>
      <c r="B98" s="3" t="s">
        <v>27</v>
      </c>
      <c r="C98" s="3" t="s">
        <v>28</v>
      </c>
      <c r="D98" s="3" t="s">
        <v>436</v>
      </c>
      <c r="E98" s="3" t="s">
        <v>437</v>
      </c>
      <c r="F98" s="3" t="s">
        <v>438</v>
      </c>
      <c r="G98" s="12" t="s">
        <v>51</v>
      </c>
      <c r="H98" s="10"/>
      <c r="I98" s="11" t="s">
        <v>7</v>
      </c>
    </row>
    <row r="99" customFormat="false" ht="23.85" hidden="false" customHeight="false" outlineLevel="0" collapsed="false">
      <c r="A99" s="4" t="s">
        <v>439</v>
      </c>
      <c r="B99" s="3" t="s">
        <v>27</v>
      </c>
      <c r="C99" s="3" t="s">
        <v>28</v>
      </c>
      <c r="D99" s="3" t="s">
        <v>440</v>
      </c>
      <c r="E99" s="3" t="s">
        <v>441</v>
      </c>
      <c r="F99" s="3" t="s">
        <v>442</v>
      </c>
      <c r="G99" s="9" t="s">
        <v>49</v>
      </c>
      <c r="H99" s="10"/>
      <c r="I99" s="11" t="s">
        <v>7</v>
      </c>
    </row>
    <row r="100" customFormat="false" ht="23.85" hidden="false" customHeight="false" outlineLevel="0" collapsed="false">
      <c r="A100" s="4" t="s">
        <v>443</v>
      </c>
      <c r="B100" s="3" t="s">
        <v>27</v>
      </c>
      <c r="C100" s="3" t="s">
        <v>28</v>
      </c>
      <c r="D100" s="3" t="s">
        <v>444</v>
      </c>
      <c r="E100" s="3" t="s">
        <v>445</v>
      </c>
      <c r="F100" s="3" t="s">
        <v>155</v>
      </c>
      <c r="G100" s="12" t="s">
        <v>51</v>
      </c>
      <c r="H100" s="10"/>
      <c r="I100" s="11" t="s">
        <v>7</v>
      </c>
    </row>
    <row r="101" customFormat="false" ht="23.85" hidden="false" customHeight="false" outlineLevel="0" collapsed="false">
      <c r="A101" s="4" t="s">
        <v>446</v>
      </c>
      <c r="B101" s="3" t="s">
        <v>27</v>
      </c>
      <c r="C101" s="3" t="s">
        <v>28</v>
      </c>
      <c r="D101" s="3" t="s">
        <v>447</v>
      </c>
      <c r="E101" s="3" t="s">
        <v>448</v>
      </c>
      <c r="F101" s="3" t="s">
        <v>449</v>
      </c>
      <c r="G101" s="12" t="s">
        <v>51</v>
      </c>
      <c r="H101" s="10"/>
      <c r="I101" s="11" t="s">
        <v>7</v>
      </c>
    </row>
    <row r="102" customFormat="false" ht="15" hidden="false" customHeight="false" outlineLevel="0" collapsed="false">
      <c r="A102" s="4" t="s">
        <v>450</v>
      </c>
      <c r="B102" s="3" t="s">
        <v>30</v>
      </c>
      <c r="C102" s="3" t="s">
        <v>31</v>
      </c>
      <c r="D102" s="3" t="s">
        <v>451</v>
      </c>
      <c r="E102" s="3" t="s">
        <v>452</v>
      </c>
      <c r="F102" s="3" t="s">
        <v>453</v>
      </c>
      <c r="G102" s="12" t="s">
        <v>51</v>
      </c>
      <c r="H102" s="10"/>
      <c r="I102" s="11" t="s">
        <v>7</v>
      </c>
    </row>
    <row r="103" customFormat="false" ht="15" hidden="false" customHeight="false" outlineLevel="0" collapsed="false">
      <c r="A103" s="4" t="s">
        <v>454</v>
      </c>
      <c r="B103" s="3" t="s">
        <v>30</v>
      </c>
      <c r="C103" s="3" t="s">
        <v>31</v>
      </c>
      <c r="D103" s="3" t="s">
        <v>455</v>
      </c>
      <c r="E103" s="3" t="s">
        <v>456</v>
      </c>
      <c r="F103" s="3" t="s">
        <v>457</v>
      </c>
      <c r="G103" s="9" t="s">
        <v>49</v>
      </c>
      <c r="H103" s="10"/>
      <c r="I103" s="11" t="s">
        <v>7</v>
      </c>
    </row>
    <row r="104" customFormat="false" ht="23.85" hidden="false" customHeight="false" outlineLevel="0" collapsed="false">
      <c r="A104" s="4" t="s">
        <v>458</v>
      </c>
      <c r="B104" s="3" t="s">
        <v>30</v>
      </c>
      <c r="C104" s="3" t="s">
        <v>31</v>
      </c>
      <c r="D104" s="3" t="s">
        <v>459</v>
      </c>
      <c r="E104" s="3" t="s">
        <v>460</v>
      </c>
      <c r="F104" s="3" t="s">
        <v>461</v>
      </c>
      <c r="G104" s="9" t="s">
        <v>49</v>
      </c>
      <c r="H104" s="10"/>
      <c r="I104" s="11" t="s">
        <v>7</v>
      </c>
    </row>
    <row r="105" customFormat="false" ht="15" hidden="false" customHeight="false" outlineLevel="0" collapsed="false">
      <c r="A105" s="4" t="s">
        <v>462</v>
      </c>
      <c r="B105" s="3" t="s">
        <v>30</v>
      </c>
      <c r="C105" s="3" t="s">
        <v>31</v>
      </c>
      <c r="D105" s="3" t="s">
        <v>463</v>
      </c>
      <c r="E105" s="3" t="s">
        <v>464</v>
      </c>
      <c r="F105" s="3" t="s">
        <v>465</v>
      </c>
      <c r="G105" s="9" t="s">
        <v>49</v>
      </c>
      <c r="H105" s="10"/>
      <c r="I105" s="11" t="s">
        <v>7</v>
      </c>
    </row>
    <row r="106" customFormat="false" ht="15" hidden="false" customHeight="false" outlineLevel="0" collapsed="false">
      <c r="A106" s="4" t="s">
        <v>466</v>
      </c>
      <c r="B106" s="3" t="s">
        <v>30</v>
      </c>
      <c r="C106" s="3" t="s">
        <v>31</v>
      </c>
      <c r="D106" s="3" t="s">
        <v>467</v>
      </c>
      <c r="E106" s="3" t="s">
        <v>468</v>
      </c>
      <c r="F106" s="3" t="s">
        <v>469</v>
      </c>
      <c r="G106" s="12" t="s">
        <v>51</v>
      </c>
      <c r="H106" s="10"/>
      <c r="I106" s="11" t="s">
        <v>7</v>
      </c>
    </row>
    <row r="107" customFormat="false" ht="23.85" hidden="false" customHeight="false" outlineLevel="0" collapsed="false">
      <c r="A107" s="4" t="s">
        <v>470</v>
      </c>
      <c r="B107" s="3" t="s">
        <v>30</v>
      </c>
      <c r="C107" s="3" t="s">
        <v>31</v>
      </c>
      <c r="D107" s="3" t="s">
        <v>471</v>
      </c>
      <c r="E107" s="3" t="s">
        <v>472</v>
      </c>
      <c r="F107" s="3" t="s">
        <v>473</v>
      </c>
      <c r="G107" s="12" t="s">
        <v>51</v>
      </c>
      <c r="H107" s="10"/>
      <c r="I107" s="11" t="s">
        <v>7</v>
      </c>
    </row>
    <row r="108" customFormat="false" ht="23.85" hidden="false" customHeight="false" outlineLevel="0" collapsed="false">
      <c r="A108" s="4" t="s">
        <v>474</v>
      </c>
      <c r="B108" s="3" t="s">
        <v>30</v>
      </c>
      <c r="C108" s="3" t="s">
        <v>31</v>
      </c>
      <c r="D108" s="3" t="s">
        <v>475</v>
      </c>
      <c r="E108" s="3" t="s">
        <v>476</v>
      </c>
      <c r="F108" s="3" t="s">
        <v>477</v>
      </c>
      <c r="G108" s="9" t="s">
        <v>49</v>
      </c>
      <c r="H108" s="10"/>
      <c r="I108" s="11" t="s">
        <v>7</v>
      </c>
    </row>
    <row r="109" customFormat="false" ht="23.85" hidden="false" customHeight="false" outlineLevel="0" collapsed="false">
      <c r="A109" s="4" t="s">
        <v>478</v>
      </c>
      <c r="B109" s="3" t="s">
        <v>30</v>
      </c>
      <c r="C109" s="3" t="s">
        <v>31</v>
      </c>
      <c r="D109" s="3" t="s">
        <v>479</v>
      </c>
      <c r="E109" s="3" t="s">
        <v>480</v>
      </c>
      <c r="F109" s="3" t="s">
        <v>481</v>
      </c>
      <c r="G109" s="9" t="s">
        <v>49</v>
      </c>
      <c r="H109" s="10"/>
      <c r="I109" s="11" t="s">
        <v>7</v>
      </c>
    </row>
    <row r="110" customFormat="false" ht="15" hidden="false" customHeight="false" outlineLevel="0" collapsed="false">
      <c r="A110" s="4" t="s">
        <v>482</v>
      </c>
      <c r="B110" s="3" t="s">
        <v>30</v>
      </c>
      <c r="C110" s="3" t="s">
        <v>31</v>
      </c>
      <c r="D110" s="3" t="s">
        <v>483</v>
      </c>
      <c r="E110" s="3" t="s">
        <v>484</v>
      </c>
      <c r="F110" s="3" t="s">
        <v>485</v>
      </c>
      <c r="G110" s="12" t="s">
        <v>51</v>
      </c>
      <c r="H110" s="10"/>
      <c r="I110" s="11" t="s">
        <v>7</v>
      </c>
    </row>
    <row r="111" customFormat="false" ht="15" hidden="false" customHeight="false" outlineLevel="0" collapsed="false">
      <c r="A111" s="4" t="s">
        <v>486</v>
      </c>
      <c r="B111" s="3" t="s">
        <v>30</v>
      </c>
      <c r="C111" s="3" t="s">
        <v>31</v>
      </c>
      <c r="D111" s="3" t="s">
        <v>487</v>
      </c>
      <c r="E111" s="3" t="s">
        <v>488</v>
      </c>
      <c r="F111" s="3" t="s">
        <v>489</v>
      </c>
      <c r="G111" s="12" t="s">
        <v>51</v>
      </c>
      <c r="H111" s="10"/>
      <c r="I111" s="11" t="s">
        <v>7</v>
      </c>
    </row>
    <row r="112" customFormat="false" ht="15" hidden="false" customHeight="false" outlineLevel="0" collapsed="false">
      <c r="A112" s="4" t="s">
        <v>490</v>
      </c>
      <c r="B112" s="3" t="s">
        <v>30</v>
      </c>
      <c r="C112" s="3" t="s">
        <v>31</v>
      </c>
      <c r="D112" s="3" t="s">
        <v>491</v>
      </c>
      <c r="E112" s="3" t="s">
        <v>492</v>
      </c>
      <c r="F112" s="3" t="s">
        <v>493</v>
      </c>
      <c r="G112" s="12" t="s">
        <v>51</v>
      </c>
      <c r="H112" s="10"/>
      <c r="I112" s="11" t="s">
        <v>7</v>
      </c>
    </row>
    <row r="113" customFormat="false" ht="15" hidden="false" customHeight="false" outlineLevel="0" collapsed="false">
      <c r="A113" s="4" t="s">
        <v>494</v>
      </c>
      <c r="B113" s="3" t="s">
        <v>30</v>
      </c>
      <c r="C113" s="3" t="s">
        <v>31</v>
      </c>
      <c r="D113" s="3" t="s">
        <v>495</v>
      </c>
      <c r="E113" s="3" t="s">
        <v>496</v>
      </c>
      <c r="F113" s="3" t="s">
        <v>497</v>
      </c>
      <c r="G113" s="12" t="s">
        <v>51</v>
      </c>
      <c r="H113" s="10"/>
      <c r="I113" s="11" t="s">
        <v>7</v>
      </c>
    </row>
    <row r="114" customFormat="false" ht="15" hidden="false" customHeight="false" outlineLevel="0" collapsed="false">
      <c r="A114" s="4" t="s">
        <v>498</v>
      </c>
      <c r="B114" s="3" t="s">
        <v>33</v>
      </c>
      <c r="C114" s="3" t="s">
        <v>34</v>
      </c>
      <c r="D114" s="3" t="s">
        <v>499</v>
      </c>
      <c r="E114" s="3" t="s">
        <v>500</v>
      </c>
      <c r="F114" s="3" t="s">
        <v>501</v>
      </c>
      <c r="G114" s="9" t="s">
        <v>49</v>
      </c>
      <c r="H114" s="10"/>
      <c r="I114" s="11" t="s">
        <v>7</v>
      </c>
    </row>
    <row r="115" customFormat="false" ht="15" hidden="false" customHeight="false" outlineLevel="0" collapsed="false">
      <c r="A115" s="4" t="s">
        <v>502</v>
      </c>
      <c r="B115" s="3" t="s">
        <v>33</v>
      </c>
      <c r="C115" s="3" t="s">
        <v>34</v>
      </c>
      <c r="D115" s="3" t="s">
        <v>503</v>
      </c>
      <c r="E115" s="3" t="s">
        <v>504</v>
      </c>
      <c r="F115" s="3" t="s">
        <v>242</v>
      </c>
      <c r="G115" s="9" t="s">
        <v>49</v>
      </c>
      <c r="H115" s="10"/>
      <c r="I115" s="11" t="s">
        <v>7</v>
      </c>
    </row>
    <row r="116" customFormat="false" ht="15" hidden="false" customHeight="false" outlineLevel="0" collapsed="false">
      <c r="A116" s="4" t="s">
        <v>505</v>
      </c>
      <c r="B116" s="3" t="s">
        <v>33</v>
      </c>
      <c r="C116" s="3" t="s">
        <v>34</v>
      </c>
      <c r="D116" s="3" t="s">
        <v>506</v>
      </c>
      <c r="E116" s="3" t="s">
        <v>507</v>
      </c>
      <c r="F116" s="3" t="s">
        <v>508</v>
      </c>
      <c r="G116" s="12" t="s">
        <v>51</v>
      </c>
      <c r="H116" s="10"/>
      <c r="I116" s="11" t="s">
        <v>7</v>
      </c>
    </row>
    <row r="117" customFormat="false" ht="15" hidden="false" customHeight="false" outlineLevel="0" collapsed="false">
      <c r="A117" s="4" t="s">
        <v>509</v>
      </c>
      <c r="B117" s="3" t="s">
        <v>33</v>
      </c>
      <c r="C117" s="3" t="s">
        <v>34</v>
      </c>
      <c r="D117" s="3" t="s">
        <v>510</v>
      </c>
      <c r="E117" s="3" t="s">
        <v>511</v>
      </c>
      <c r="F117" s="3" t="s">
        <v>512</v>
      </c>
      <c r="G117" s="12" t="s">
        <v>51</v>
      </c>
      <c r="H117" s="10"/>
      <c r="I117" s="11" t="s">
        <v>7</v>
      </c>
    </row>
    <row r="118" customFormat="false" ht="15" hidden="false" customHeight="false" outlineLevel="0" collapsed="false">
      <c r="A118" s="4" t="s">
        <v>513</v>
      </c>
      <c r="B118" s="3" t="s">
        <v>33</v>
      </c>
      <c r="C118" s="3" t="s">
        <v>34</v>
      </c>
      <c r="D118" s="3" t="s">
        <v>514</v>
      </c>
      <c r="E118" s="3" t="s">
        <v>515</v>
      </c>
      <c r="F118" s="3" t="s">
        <v>512</v>
      </c>
      <c r="G118" s="9" t="s">
        <v>49</v>
      </c>
      <c r="H118" s="10"/>
      <c r="I118" s="11" t="s">
        <v>7</v>
      </c>
    </row>
    <row r="119" customFormat="false" ht="15" hidden="false" customHeight="false" outlineLevel="0" collapsed="false">
      <c r="A119" s="4" t="s">
        <v>516</v>
      </c>
      <c r="B119" s="3" t="s">
        <v>33</v>
      </c>
      <c r="C119" s="3" t="s">
        <v>34</v>
      </c>
      <c r="D119" s="3" t="s">
        <v>517</v>
      </c>
      <c r="E119" s="3" t="s">
        <v>518</v>
      </c>
      <c r="F119" s="3" t="s">
        <v>519</v>
      </c>
      <c r="G119" s="12" t="s">
        <v>51</v>
      </c>
      <c r="H119" s="10"/>
      <c r="I119" s="11" t="s">
        <v>7</v>
      </c>
    </row>
    <row r="120" customFormat="false" ht="15" hidden="false" customHeight="false" outlineLevel="0" collapsed="false">
      <c r="A120" s="4" t="s">
        <v>520</v>
      </c>
      <c r="B120" s="3" t="s">
        <v>33</v>
      </c>
      <c r="C120" s="3" t="s">
        <v>34</v>
      </c>
      <c r="D120" s="3" t="s">
        <v>521</v>
      </c>
      <c r="E120" s="3" t="s">
        <v>522</v>
      </c>
      <c r="F120" s="3" t="s">
        <v>523</v>
      </c>
      <c r="G120" s="12" t="s">
        <v>51</v>
      </c>
      <c r="H120" s="10"/>
      <c r="I120" s="11" t="s">
        <v>7</v>
      </c>
    </row>
    <row r="121" customFormat="false" ht="23.85" hidden="false" customHeight="false" outlineLevel="0" collapsed="false">
      <c r="A121" s="4" t="s">
        <v>524</v>
      </c>
      <c r="B121" s="3" t="s">
        <v>33</v>
      </c>
      <c r="C121" s="3" t="s">
        <v>34</v>
      </c>
      <c r="D121" s="3" t="s">
        <v>525</v>
      </c>
      <c r="E121" s="3" t="s">
        <v>526</v>
      </c>
      <c r="F121" s="3" t="s">
        <v>527</v>
      </c>
      <c r="G121" s="9" t="s">
        <v>49</v>
      </c>
      <c r="H121" s="10"/>
      <c r="I121" s="11" t="s">
        <v>7</v>
      </c>
    </row>
    <row r="122" customFormat="false" ht="23.85" hidden="false" customHeight="false" outlineLevel="0" collapsed="false">
      <c r="A122" s="4" t="s">
        <v>528</v>
      </c>
      <c r="B122" s="3" t="s">
        <v>33</v>
      </c>
      <c r="C122" s="3" t="s">
        <v>34</v>
      </c>
      <c r="D122" s="3" t="s">
        <v>529</v>
      </c>
      <c r="E122" s="3" t="s">
        <v>530</v>
      </c>
      <c r="F122" s="3" t="s">
        <v>531</v>
      </c>
      <c r="G122" s="12" t="s">
        <v>51</v>
      </c>
      <c r="H122" s="10"/>
      <c r="I122" s="11" t="s">
        <v>7</v>
      </c>
    </row>
    <row r="123" customFormat="false" ht="23.85" hidden="false" customHeight="false" outlineLevel="0" collapsed="false">
      <c r="A123" s="4" t="s">
        <v>532</v>
      </c>
      <c r="B123" s="3" t="s">
        <v>33</v>
      </c>
      <c r="C123" s="3" t="s">
        <v>34</v>
      </c>
      <c r="D123" s="3" t="s">
        <v>533</v>
      </c>
      <c r="E123" s="3" t="s">
        <v>534</v>
      </c>
      <c r="F123" s="3" t="s">
        <v>535</v>
      </c>
      <c r="G123" s="13" t="s">
        <v>53</v>
      </c>
      <c r="H123" s="10"/>
      <c r="I123" s="11" t="s">
        <v>7</v>
      </c>
    </row>
    <row r="124" customFormat="false" ht="23.85" hidden="false" customHeight="false" outlineLevel="0" collapsed="false">
      <c r="A124" s="4" t="s">
        <v>536</v>
      </c>
      <c r="B124" s="3" t="s">
        <v>33</v>
      </c>
      <c r="C124" s="3" t="s">
        <v>34</v>
      </c>
      <c r="D124" s="3" t="s">
        <v>537</v>
      </c>
      <c r="E124" s="3" t="s">
        <v>538</v>
      </c>
      <c r="F124" s="3" t="s">
        <v>539</v>
      </c>
      <c r="G124" s="9" t="s">
        <v>49</v>
      </c>
      <c r="H124" s="10"/>
      <c r="I124" s="11" t="s">
        <v>7</v>
      </c>
    </row>
    <row r="125" customFormat="false" ht="15" hidden="false" customHeight="false" outlineLevel="0" collapsed="false">
      <c r="A125" s="4" t="s">
        <v>540</v>
      </c>
      <c r="B125" s="3" t="s">
        <v>33</v>
      </c>
      <c r="C125" s="3" t="s">
        <v>34</v>
      </c>
      <c r="D125" s="3" t="s">
        <v>541</v>
      </c>
      <c r="E125" s="3" t="s">
        <v>542</v>
      </c>
      <c r="F125" s="3" t="s">
        <v>543</v>
      </c>
      <c r="G125" s="9" t="s">
        <v>49</v>
      </c>
      <c r="H125" s="10"/>
      <c r="I125" s="11" t="s">
        <v>7</v>
      </c>
    </row>
    <row r="126" customFormat="false" ht="23.85" hidden="false" customHeight="false" outlineLevel="0" collapsed="false">
      <c r="A126" s="4" t="s">
        <v>544</v>
      </c>
      <c r="B126" s="3" t="s">
        <v>33</v>
      </c>
      <c r="C126" s="3" t="s">
        <v>34</v>
      </c>
      <c r="D126" s="3" t="s">
        <v>545</v>
      </c>
      <c r="E126" s="3" t="s">
        <v>546</v>
      </c>
      <c r="F126" s="3" t="s">
        <v>547</v>
      </c>
      <c r="G126" s="9" t="s">
        <v>49</v>
      </c>
      <c r="H126" s="10"/>
      <c r="I126" s="11" t="s">
        <v>7</v>
      </c>
    </row>
    <row r="127" customFormat="false" ht="15" hidden="false" customHeight="false" outlineLevel="0" collapsed="false">
      <c r="A127" s="4" t="s">
        <v>548</v>
      </c>
      <c r="B127" s="3" t="s">
        <v>33</v>
      </c>
      <c r="C127" s="3" t="s">
        <v>34</v>
      </c>
      <c r="D127" s="3" t="s">
        <v>549</v>
      </c>
      <c r="E127" s="3" t="s">
        <v>550</v>
      </c>
      <c r="F127" s="3" t="s">
        <v>551</v>
      </c>
      <c r="G127" s="12" t="s">
        <v>51</v>
      </c>
      <c r="H127" s="10"/>
      <c r="I127" s="11" t="s">
        <v>7</v>
      </c>
    </row>
    <row r="128" customFormat="false" ht="23.85" hidden="false" customHeight="false" outlineLevel="0" collapsed="false">
      <c r="A128" s="4" t="s">
        <v>552</v>
      </c>
      <c r="B128" s="3" t="s">
        <v>33</v>
      </c>
      <c r="C128" s="3" t="s">
        <v>34</v>
      </c>
      <c r="D128" s="3" t="s">
        <v>553</v>
      </c>
      <c r="E128" s="3" t="s">
        <v>554</v>
      </c>
      <c r="F128" s="3" t="s">
        <v>555</v>
      </c>
      <c r="G128" s="13" t="s">
        <v>53</v>
      </c>
      <c r="H128" s="10"/>
      <c r="I128" s="11" t="s">
        <v>7</v>
      </c>
    </row>
    <row r="129" customFormat="false" ht="15" hidden="false" customHeight="false" outlineLevel="0" collapsed="false">
      <c r="A129" s="4" t="s">
        <v>556</v>
      </c>
      <c r="B129" s="3" t="s">
        <v>33</v>
      </c>
      <c r="C129" s="3" t="s">
        <v>34</v>
      </c>
      <c r="D129" s="3" t="s">
        <v>557</v>
      </c>
      <c r="E129" s="3" t="s">
        <v>558</v>
      </c>
      <c r="F129" s="3" t="s">
        <v>559</v>
      </c>
      <c r="G129" s="9" t="s">
        <v>49</v>
      </c>
      <c r="H129" s="10"/>
      <c r="I129" s="11" t="s">
        <v>7</v>
      </c>
    </row>
    <row r="130" customFormat="false" ht="23.85" hidden="false" customHeight="false" outlineLevel="0" collapsed="false">
      <c r="A130" s="4" t="s">
        <v>560</v>
      </c>
      <c r="B130" s="3" t="s">
        <v>33</v>
      </c>
      <c r="C130" s="3" t="s">
        <v>34</v>
      </c>
      <c r="D130" s="3" t="s">
        <v>561</v>
      </c>
      <c r="E130" s="3" t="s">
        <v>562</v>
      </c>
      <c r="F130" s="3" t="s">
        <v>563</v>
      </c>
      <c r="G130" s="12" t="s">
        <v>51</v>
      </c>
      <c r="H130" s="10"/>
      <c r="I130" s="11" t="s">
        <v>7</v>
      </c>
    </row>
    <row r="131" customFormat="false" ht="15" hidden="false" customHeight="false" outlineLevel="0" collapsed="false">
      <c r="A131" s="4" t="s">
        <v>564</v>
      </c>
      <c r="B131" s="3" t="s">
        <v>33</v>
      </c>
      <c r="C131" s="3" t="s">
        <v>34</v>
      </c>
      <c r="D131" s="3" t="s">
        <v>565</v>
      </c>
      <c r="E131" s="3" t="s">
        <v>566</v>
      </c>
      <c r="F131" s="3" t="s">
        <v>567</v>
      </c>
      <c r="G131" s="12" t="s">
        <v>51</v>
      </c>
      <c r="H131" s="10"/>
      <c r="I131" s="11" t="s">
        <v>7</v>
      </c>
    </row>
    <row r="132" customFormat="false" ht="15" hidden="false" customHeight="false" outlineLevel="0" collapsed="false">
      <c r="A132" s="4" t="s">
        <v>568</v>
      </c>
      <c r="B132" s="3" t="s">
        <v>33</v>
      </c>
      <c r="C132" s="3" t="s">
        <v>34</v>
      </c>
      <c r="D132" s="3" t="s">
        <v>569</v>
      </c>
      <c r="E132" s="3" t="s">
        <v>570</v>
      </c>
      <c r="F132" s="3" t="s">
        <v>155</v>
      </c>
      <c r="G132" s="9" t="s">
        <v>49</v>
      </c>
      <c r="H132" s="10"/>
      <c r="I132" s="11" t="s">
        <v>7</v>
      </c>
    </row>
    <row r="133" customFormat="false" ht="15" hidden="false" customHeight="false" outlineLevel="0" collapsed="false">
      <c r="A133" s="4" t="s">
        <v>571</v>
      </c>
      <c r="B133" s="3" t="s">
        <v>33</v>
      </c>
      <c r="C133" s="3" t="s">
        <v>34</v>
      </c>
      <c r="D133" s="3" t="s">
        <v>572</v>
      </c>
      <c r="E133" s="3" t="s">
        <v>573</v>
      </c>
      <c r="F133" s="3" t="s">
        <v>574</v>
      </c>
      <c r="G133" s="9" t="s">
        <v>49</v>
      </c>
      <c r="H133" s="10"/>
      <c r="I133" s="11" t="s">
        <v>7</v>
      </c>
    </row>
    <row r="134" customFormat="false" ht="15" hidden="false" customHeight="false" outlineLevel="0" collapsed="false">
      <c r="A134" s="4" t="s">
        <v>575</v>
      </c>
      <c r="B134" s="3" t="s">
        <v>33</v>
      </c>
      <c r="C134" s="3" t="s">
        <v>34</v>
      </c>
      <c r="D134" s="3" t="s">
        <v>576</v>
      </c>
      <c r="E134" s="3" t="s">
        <v>577</v>
      </c>
      <c r="F134" s="3" t="s">
        <v>578</v>
      </c>
      <c r="G134" s="13" t="s">
        <v>53</v>
      </c>
      <c r="H134" s="10"/>
      <c r="I134" s="11" t="s">
        <v>7</v>
      </c>
    </row>
    <row r="135" customFormat="false" ht="23.85" hidden="false" customHeight="false" outlineLevel="0" collapsed="false">
      <c r="A135" s="4" t="s">
        <v>579</v>
      </c>
      <c r="B135" s="3" t="s">
        <v>33</v>
      </c>
      <c r="C135" s="3" t="s">
        <v>34</v>
      </c>
      <c r="D135" s="3" t="s">
        <v>580</v>
      </c>
      <c r="E135" s="3" t="s">
        <v>581</v>
      </c>
      <c r="F135" s="3" t="s">
        <v>582</v>
      </c>
      <c r="G135" s="12" t="s">
        <v>51</v>
      </c>
      <c r="H135" s="10"/>
      <c r="I135" s="11" t="s">
        <v>7</v>
      </c>
    </row>
    <row r="136" customFormat="false" ht="23.85" hidden="false" customHeight="false" outlineLevel="0" collapsed="false">
      <c r="A136" s="4" t="s">
        <v>583</v>
      </c>
      <c r="B136" s="3" t="s">
        <v>36</v>
      </c>
      <c r="C136" s="3" t="s">
        <v>37</v>
      </c>
      <c r="D136" s="3" t="s">
        <v>584</v>
      </c>
      <c r="E136" s="3" t="s">
        <v>585</v>
      </c>
      <c r="F136" s="3" t="s">
        <v>586</v>
      </c>
      <c r="G136" s="9" t="s">
        <v>49</v>
      </c>
      <c r="H136" s="10"/>
      <c r="I136" s="11" t="s">
        <v>7</v>
      </c>
    </row>
    <row r="137" customFormat="false" ht="23.85" hidden="false" customHeight="false" outlineLevel="0" collapsed="false">
      <c r="A137" s="4" t="s">
        <v>587</v>
      </c>
      <c r="B137" s="3" t="s">
        <v>36</v>
      </c>
      <c r="C137" s="3" t="s">
        <v>37</v>
      </c>
      <c r="D137" s="3" t="s">
        <v>588</v>
      </c>
      <c r="E137" s="3" t="s">
        <v>589</v>
      </c>
      <c r="F137" s="3" t="s">
        <v>590</v>
      </c>
      <c r="G137" s="9" t="s">
        <v>49</v>
      </c>
      <c r="H137" s="10"/>
      <c r="I137" s="11" t="s">
        <v>7</v>
      </c>
    </row>
    <row r="138" customFormat="false" ht="23.85" hidden="false" customHeight="false" outlineLevel="0" collapsed="false">
      <c r="A138" s="4" t="s">
        <v>591</v>
      </c>
      <c r="B138" s="3" t="s">
        <v>36</v>
      </c>
      <c r="C138" s="3" t="s">
        <v>37</v>
      </c>
      <c r="D138" s="3" t="s">
        <v>592</v>
      </c>
      <c r="E138" s="3" t="s">
        <v>593</v>
      </c>
      <c r="F138" s="3" t="s">
        <v>590</v>
      </c>
      <c r="G138" s="9" t="s">
        <v>49</v>
      </c>
      <c r="H138" s="10"/>
      <c r="I138" s="11" t="s">
        <v>7</v>
      </c>
    </row>
    <row r="139" customFormat="false" ht="23.85" hidden="false" customHeight="false" outlineLevel="0" collapsed="false">
      <c r="A139" s="4" t="s">
        <v>594</v>
      </c>
      <c r="B139" s="3" t="s">
        <v>36</v>
      </c>
      <c r="C139" s="3" t="s">
        <v>37</v>
      </c>
      <c r="D139" s="3" t="s">
        <v>595</v>
      </c>
      <c r="E139" s="3" t="s">
        <v>596</v>
      </c>
      <c r="F139" s="3" t="s">
        <v>597</v>
      </c>
      <c r="G139" s="9" t="s">
        <v>49</v>
      </c>
      <c r="H139" s="10"/>
      <c r="I139" s="11" t="s">
        <v>7</v>
      </c>
    </row>
    <row r="140" customFormat="false" ht="23.85" hidden="false" customHeight="false" outlineLevel="0" collapsed="false">
      <c r="A140" s="4" t="s">
        <v>598</v>
      </c>
      <c r="B140" s="3" t="s">
        <v>36</v>
      </c>
      <c r="C140" s="3" t="s">
        <v>37</v>
      </c>
      <c r="D140" s="3" t="s">
        <v>599</v>
      </c>
      <c r="E140" s="3" t="s">
        <v>600</v>
      </c>
      <c r="F140" s="3" t="s">
        <v>155</v>
      </c>
      <c r="G140" s="9" t="s">
        <v>49</v>
      </c>
      <c r="H140" s="10"/>
      <c r="I140" s="11" t="s">
        <v>7</v>
      </c>
    </row>
    <row r="141" customFormat="false" ht="23.85" hidden="false" customHeight="false" outlineLevel="0" collapsed="false">
      <c r="A141" s="4" t="s">
        <v>601</v>
      </c>
      <c r="B141" s="3" t="s">
        <v>36</v>
      </c>
      <c r="C141" s="3" t="s">
        <v>37</v>
      </c>
      <c r="D141" s="3" t="s">
        <v>602</v>
      </c>
      <c r="E141" s="3" t="s">
        <v>603</v>
      </c>
      <c r="F141" s="3" t="s">
        <v>262</v>
      </c>
      <c r="G141" s="9" t="s">
        <v>49</v>
      </c>
      <c r="H141" s="10"/>
      <c r="I141" s="11" t="s">
        <v>7</v>
      </c>
    </row>
    <row r="142" customFormat="false" ht="23.85" hidden="false" customHeight="false" outlineLevel="0" collapsed="false">
      <c r="A142" s="4" t="s">
        <v>604</v>
      </c>
      <c r="B142" s="3" t="s">
        <v>36</v>
      </c>
      <c r="C142" s="3" t="s">
        <v>37</v>
      </c>
      <c r="D142" s="3" t="s">
        <v>605</v>
      </c>
      <c r="E142" s="3" t="s">
        <v>606</v>
      </c>
      <c r="F142" s="3" t="s">
        <v>262</v>
      </c>
      <c r="G142" s="9" t="s">
        <v>49</v>
      </c>
      <c r="H142" s="10"/>
      <c r="I142" s="11" t="s">
        <v>7</v>
      </c>
    </row>
    <row r="143" customFormat="false" ht="23.85" hidden="false" customHeight="false" outlineLevel="0" collapsed="false">
      <c r="A143" s="4" t="s">
        <v>607</v>
      </c>
      <c r="B143" s="3" t="s">
        <v>36</v>
      </c>
      <c r="C143" s="3" t="s">
        <v>37</v>
      </c>
      <c r="D143" s="3" t="s">
        <v>608</v>
      </c>
      <c r="E143" s="3" t="s">
        <v>609</v>
      </c>
      <c r="F143" s="3" t="s">
        <v>610</v>
      </c>
      <c r="G143" s="9" t="s">
        <v>49</v>
      </c>
      <c r="H143" s="10"/>
      <c r="I143" s="11" t="s">
        <v>7</v>
      </c>
    </row>
    <row r="144" customFormat="false" ht="23.85" hidden="false" customHeight="false" outlineLevel="0" collapsed="false">
      <c r="A144" s="4" t="s">
        <v>611</v>
      </c>
      <c r="B144" s="3" t="s">
        <v>36</v>
      </c>
      <c r="C144" s="3" t="s">
        <v>37</v>
      </c>
      <c r="D144" s="3" t="s">
        <v>612</v>
      </c>
      <c r="E144" s="3" t="s">
        <v>613</v>
      </c>
      <c r="F144" s="3" t="s">
        <v>481</v>
      </c>
      <c r="G144" s="9" t="s">
        <v>49</v>
      </c>
      <c r="H144" s="10"/>
      <c r="I144" s="11" t="s">
        <v>7</v>
      </c>
    </row>
    <row r="145" customFormat="false" ht="23.85" hidden="false" customHeight="false" outlineLevel="0" collapsed="false">
      <c r="A145" s="4" t="s">
        <v>614</v>
      </c>
      <c r="B145" s="3" t="s">
        <v>36</v>
      </c>
      <c r="C145" s="3" t="s">
        <v>37</v>
      </c>
      <c r="D145" s="3" t="s">
        <v>615</v>
      </c>
      <c r="E145" s="3" t="s">
        <v>616</v>
      </c>
      <c r="F145" s="3" t="s">
        <v>617</v>
      </c>
      <c r="G145" s="9" t="s">
        <v>49</v>
      </c>
      <c r="H145" s="10"/>
      <c r="I145" s="11" t="s">
        <v>7</v>
      </c>
    </row>
    <row r="146" customFormat="false" ht="23.85" hidden="false" customHeight="false" outlineLevel="0" collapsed="false">
      <c r="A146" s="4" t="s">
        <v>618</v>
      </c>
      <c r="B146" s="3" t="s">
        <v>36</v>
      </c>
      <c r="C146" s="3" t="s">
        <v>37</v>
      </c>
      <c r="D146" s="3" t="s">
        <v>619</v>
      </c>
      <c r="E146" s="3" t="s">
        <v>620</v>
      </c>
      <c r="F146" s="3" t="s">
        <v>621</v>
      </c>
      <c r="G146" s="9" t="s">
        <v>49</v>
      </c>
      <c r="H146" s="10"/>
      <c r="I146" s="11" t="s">
        <v>7</v>
      </c>
    </row>
    <row r="147" customFormat="false" ht="23.85" hidden="false" customHeight="false" outlineLevel="0" collapsed="false">
      <c r="A147" s="4" t="s">
        <v>622</v>
      </c>
      <c r="B147" s="3" t="s">
        <v>36</v>
      </c>
      <c r="C147" s="3" t="s">
        <v>37</v>
      </c>
      <c r="D147" s="3" t="s">
        <v>623</v>
      </c>
      <c r="E147" s="3" t="s">
        <v>624</v>
      </c>
      <c r="F147" s="3" t="s">
        <v>512</v>
      </c>
      <c r="G147" s="12" t="s">
        <v>51</v>
      </c>
      <c r="H147" s="10"/>
      <c r="I147" s="11" t="s">
        <v>7</v>
      </c>
    </row>
    <row r="148" customFormat="false" ht="23.85" hidden="false" customHeight="false" outlineLevel="0" collapsed="false">
      <c r="A148" s="4" t="s">
        <v>625</v>
      </c>
      <c r="B148" s="3" t="s">
        <v>36</v>
      </c>
      <c r="C148" s="3" t="s">
        <v>37</v>
      </c>
      <c r="D148" s="3" t="s">
        <v>626</v>
      </c>
      <c r="E148" s="3" t="s">
        <v>627</v>
      </c>
      <c r="F148" s="3" t="s">
        <v>262</v>
      </c>
      <c r="G148" s="9" t="s">
        <v>49</v>
      </c>
      <c r="H148" s="10"/>
      <c r="I148" s="11" t="s">
        <v>7</v>
      </c>
    </row>
    <row r="149" customFormat="false" ht="23.85" hidden="false" customHeight="false" outlineLevel="0" collapsed="false">
      <c r="A149" s="4" t="s">
        <v>628</v>
      </c>
      <c r="B149" s="3" t="s">
        <v>36</v>
      </c>
      <c r="C149" s="3" t="s">
        <v>37</v>
      </c>
      <c r="D149" s="3" t="s">
        <v>629</v>
      </c>
      <c r="E149" s="3" t="s">
        <v>630</v>
      </c>
      <c r="F149" s="3" t="s">
        <v>631</v>
      </c>
      <c r="G149" s="12" t="s">
        <v>51</v>
      </c>
      <c r="H149" s="10"/>
      <c r="I149" s="11" t="s">
        <v>7</v>
      </c>
    </row>
    <row r="150" customFormat="false" ht="23.85" hidden="false" customHeight="false" outlineLevel="0" collapsed="false">
      <c r="A150" s="4" t="s">
        <v>632</v>
      </c>
      <c r="B150" s="3" t="s">
        <v>36</v>
      </c>
      <c r="C150" s="3" t="s">
        <v>37</v>
      </c>
      <c r="D150" s="3" t="s">
        <v>633</v>
      </c>
      <c r="E150" s="3" t="s">
        <v>634</v>
      </c>
      <c r="F150" s="3" t="s">
        <v>635</v>
      </c>
      <c r="G150" s="12" t="s">
        <v>51</v>
      </c>
      <c r="H150" s="10"/>
      <c r="I150" s="11" t="s">
        <v>7</v>
      </c>
    </row>
    <row r="151" customFormat="false" ht="23.85" hidden="false" customHeight="false" outlineLevel="0" collapsed="false">
      <c r="A151" s="4" t="s">
        <v>636</v>
      </c>
      <c r="B151" s="3" t="s">
        <v>39</v>
      </c>
      <c r="C151" s="3" t="s">
        <v>40</v>
      </c>
      <c r="D151" s="3" t="s">
        <v>637</v>
      </c>
      <c r="E151" s="3" t="s">
        <v>638</v>
      </c>
      <c r="F151" s="3" t="s">
        <v>639</v>
      </c>
      <c r="G151" s="9" t="s">
        <v>49</v>
      </c>
      <c r="H151" s="10"/>
      <c r="I151" s="11" t="s">
        <v>7</v>
      </c>
    </row>
    <row r="152" customFormat="false" ht="23.85" hidden="false" customHeight="false" outlineLevel="0" collapsed="false">
      <c r="A152" s="4" t="s">
        <v>640</v>
      </c>
      <c r="B152" s="3" t="s">
        <v>39</v>
      </c>
      <c r="C152" s="3" t="s">
        <v>40</v>
      </c>
      <c r="D152" s="3" t="s">
        <v>641</v>
      </c>
      <c r="E152" s="3" t="s">
        <v>642</v>
      </c>
      <c r="F152" s="3" t="s">
        <v>643</v>
      </c>
      <c r="G152" s="9" t="s">
        <v>49</v>
      </c>
      <c r="H152" s="10"/>
      <c r="I152" s="11" t="s">
        <v>7</v>
      </c>
    </row>
    <row r="153" customFormat="false" ht="23.85" hidden="false" customHeight="false" outlineLevel="0" collapsed="false">
      <c r="A153" s="4" t="s">
        <v>644</v>
      </c>
      <c r="B153" s="3" t="s">
        <v>39</v>
      </c>
      <c r="C153" s="3" t="s">
        <v>40</v>
      </c>
      <c r="D153" s="3" t="s">
        <v>645</v>
      </c>
      <c r="E153" s="3" t="s">
        <v>646</v>
      </c>
      <c r="F153" s="3" t="s">
        <v>647</v>
      </c>
      <c r="G153" s="9" t="s">
        <v>49</v>
      </c>
      <c r="H153" s="10"/>
      <c r="I153" s="11" t="s">
        <v>7</v>
      </c>
    </row>
    <row r="154" customFormat="false" ht="23.85" hidden="false" customHeight="false" outlineLevel="0" collapsed="false">
      <c r="A154" s="4" t="s">
        <v>648</v>
      </c>
      <c r="B154" s="3" t="s">
        <v>39</v>
      </c>
      <c r="C154" s="3" t="s">
        <v>40</v>
      </c>
      <c r="D154" s="3" t="s">
        <v>649</v>
      </c>
      <c r="E154" s="3" t="s">
        <v>650</v>
      </c>
      <c r="F154" s="3" t="s">
        <v>651</v>
      </c>
      <c r="G154" s="9" t="s">
        <v>49</v>
      </c>
      <c r="H154" s="10"/>
      <c r="I154" s="11" t="s">
        <v>7</v>
      </c>
    </row>
    <row r="155" customFormat="false" ht="23.85" hidden="false" customHeight="false" outlineLevel="0" collapsed="false">
      <c r="A155" s="4" t="s">
        <v>652</v>
      </c>
      <c r="B155" s="3" t="s">
        <v>39</v>
      </c>
      <c r="C155" s="3" t="s">
        <v>40</v>
      </c>
      <c r="D155" s="3" t="s">
        <v>653</v>
      </c>
      <c r="E155" s="3" t="s">
        <v>654</v>
      </c>
      <c r="F155" s="3" t="s">
        <v>655</v>
      </c>
      <c r="G155" s="12" t="s">
        <v>51</v>
      </c>
      <c r="H155" s="10"/>
      <c r="I155" s="11" t="s">
        <v>7</v>
      </c>
    </row>
    <row r="156" customFormat="false" ht="23.85" hidden="false" customHeight="false" outlineLevel="0" collapsed="false">
      <c r="A156" s="4" t="s">
        <v>656</v>
      </c>
      <c r="B156" s="3" t="s">
        <v>39</v>
      </c>
      <c r="C156" s="3" t="s">
        <v>40</v>
      </c>
      <c r="D156" s="3" t="s">
        <v>657</v>
      </c>
      <c r="E156" s="3" t="s">
        <v>658</v>
      </c>
      <c r="F156" s="3" t="s">
        <v>659</v>
      </c>
      <c r="G156" s="12" t="s">
        <v>51</v>
      </c>
      <c r="H156" s="10"/>
      <c r="I156" s="11" t="s">
        <v>7</v>
      </c>
    </row>
    <row r="157" customFormat="false" ht="23.85" hidden="false" customHeight="false" outlineLevel="0" collapsed="false">
      <c r="A157" s="4" t="s">
        <v>660</v>
      </c>
      <c r="B157" s="3" t="s">
        <v>39</v>
      </c>
      <c r="C157" s="3" t="s">
        <v>40</v>
      </c>
      <c r="D157" s="3" t="s">
        <v>661</v>
      </c>
      <c r="E157" s="3" t="s">
        <v>662</v>
      </c>
      <c r="F157" s="3" t="s">
        <v>663</v>
      </c>
      <c r="G157" s="12" t="s">
        <v>51</v>
      </c>
      <c r="H157" s="10"/>
      <c r="I157" s="11" t="s">
        <v>7</v>
      </c>
    </row>
    <row r="158" customFormat="false" ht="23.85" hidden="false" customHeight="false" outlineLevel="0" collapsed="false">
      <c r="A158" s="4" t="s">
        <v>664</v>
      </c>
      <c r="B158" s="3" t="s">
        <v>39</v>
      </c>
      <c r="C158" s="3" t="s">
        <v>40</v>
      </c>
      <c r="D158" s="3" t="s">
        <v>665</v>
      </c>
      <c r="E158" s="3" t="s">
        <v>666</v>
      </c>
      <c r="F158" s="3" t="s">
        <v>667</v>
      </c>
      <c r="G158" s="12" t="s">
        <v>51</v>
      </c>
      <c r="H158" s="10"/>
      <c r="I158" s="11" t="s">
        <v>7</v>
      </c>
    </row>
    <row r="159" customFormat="false" ht="23.85" hidden="false" customHeight="false" outlineLevel="0" collapsed="false">
      <c r="A159" s="4" t="s">
        <v>668</v>
      </c>
      <c r="B159" s="3" t="s">
        <v>39</v>
      </c>
      <c r="C159" s="3" t="s">
        <v>40</v>
      </c>
      <c r="D159" s="3" t="s">
        <v>669</v>
      </c>
      <c r="E159" s="3" t="s">
        <v>670</v>
      </c>
      <c r="F159" s="3" t="s">
        <v>671</v>
      </c>
      <c r="G159" s="13" t="s">
        <v>53</v>
      </c>
      <c r="H159" s="10"/>
      <c r="I159" s="11" t="s">
        <v>7</v>
      </c>
    </row>
    <row r="160" customFormat="false" ht="23.85" hidden="false" customHeight="false" outlineLevel="0" collapsed="false">
      <c r="A160" s="4" t="s">
        <v>672</v>
      </c>
      <c r="B160" s="3" t="s">
        <v>39</v>
      </c>
      <c r="C160" s="3" t="s">
        <v>40</v>
      </c>
      <c r="D160" s="3" t="s">
        <v>673</v>
      </c>
      <c r="E160" s="3" t="s">
        <v>674</v>
      </c>
      <c r="F160" s="3" t="s">
        <v>675</v>
      </c>
      <c r="G160" s="12" t="s">
        <v>51</v>
      </c>
      <c r="H160" s="10"/>
      <c r="I160" s="11" t="s">
        <v>7</v>
      </c>
    </row>
    <row r="161" customFormat="false" ht="23.85" hidden="false" customHeight="false" outlineLevel="0" collapsed="false">
      <c r="A161" s="4" t="s">
        <v>676</v>
      </c>
      <c r="B161" s="3" t="s">
        <v>39</v>
      </c>
      <c r="C161" s="3" t="s">
        <v>40</v>
      </c>
      <c r="D161" s="3" t="s">
        <v>677</v>
      </c>
      <c r="E161" s="3" t="s">
        <v>678</v>
      </c>
      <c r="F161" s="3" t="s">
        <v>679</v>
      </c>
      <c r="G161" s="12" t="s">
        <v>51</v>
      </c>
      <c r="H161" s="10"/>
      <c r="I161" s="11" t="s">
        <v>7</v>
      </c>
    </row>
    <row r="162" customFormat="false" ht="23.85" hidden="false" customHeight="false" outlineLevel="0" collapsed="false">
      <c r="A162" s="4" t="s">
        <v>680</v>
      </c>
      <c r="B162" s="3" t="s">
        <v>39</v>
      </c>
      <c r="C162" s="3" t="s">
        <v>40</v>
      </c>
      <c r="D162" s="3" t="s">
        <v>681</v>
      </c>
      <c r="E162" s="3" t="s">
        <v>682</v>
      </c>
      <c r="F162" s="3" t="s">
        <v>683</v>
      </c>
      <c r="G162" s="12" t="s">
        <v>51</v>
      </c>
      <c r="H162" s="10"/>
      <c r="I162" s="11" t="s">
        <v>7</v>
      </c>
    </row>
    <row r="163" customFormat="false" ht="23.85" hidden="false" customHeight="false" outlineLevel="0" collapsed="false">
      <c r="A163" s="4" t="s">
        <v>684</v>
      </c>
      <c r="B163" s="3" t="s">
        <v>39</v>
      </c>
      <c r="C163" s="3" t="s">
        <v>40</v>
      </c>
      <c r="D163" s="3" t="s">
        <v>685</v>
      </c>
      <c r="E163" s="3" t="s">
        <v>686</v>
      </c>
      <c r="F163" s="3" t="s">
        <v>687</v>
      </c>
      <c r="G163" s="12" t="s">
        <v>51</v>
      </c>
      <c r="H163" s="10"/>
      <c r="I163" s="11" t="s">
        <v>7</v>
      </c>
    </row>
    <row r="164" customFormat="false" ht="23.85" hidden="false" customHeight="false" outlineLevel="0" collapsed="false">
      <c r="A164" s="4" t="s">
        <v>688</v>
      </c>
      <c r="B164" s="3" t="s">
        <v>39</v>
      </c>
      <c r="C164" s="3" t="s">
        <v>40</v>
      </c>
      <c r="D164" s="3" t="s">
        <v>689</v>
      </c>
      <c r="E164" s="3" t="s">
        <v>690</v>
      </c>
      <c r="F164" s="3" t="s">
        <v>691</v>
      </c>
      <c r="G164" s="12" t="s">
        <v>51</v>
      </c>
      <c r="H164" s="10"/>
      <c r="I164" s="11" t="s">
        <v>7</v>
      </c>
    </row>
    <row r="165" customFormat="false" ht="23.85" hidden="false" customHeight="false" outlineLevel="0" collapsed="false">
      <c r="A165" s="4" t="s">
        <v>692</v>
      </c>
      <c r="B165" s="3" t="s">
        <v>39</v>
      </c>
      <c r="C165" s="3" t="s">
        <v>40</v>
      </c>
      <c r="D165" s="3" t="s">
        <v>693</v>
      </c>
      <c r="E165" s="3" t="s">
        <v>694</v>
      </c>
      <c r="F165" s="3" t="s">
        <v>695</v>
      </c>
      <c r="G165" s="12" t="s">
        <v>51</v>
      </c>
      <c r="H165" s="10"/>
      <c r="I165" s="11" t="s">
        <v>7</v>
      </c>
    </row>
    <row r="166" customFormat="false" ht="23.85" hidden="false" customHeight="false" outlineLevel="0" collapsed="false">
      <c r="A166" s="4" t="s">
        <v>696</v>
      </c>
      <c r="B166" s="3" t="s">
        <v>39</v>
      </c>
      <c r="C166" s="3" t="s">
        <v>40</v>
      </c>
      <c r="D166" s="3" t="s">
        <v>697</v>
      </c>
      <c r="E166" s="3" t="s">
        <v>698</v>
      </c>
      <c r="F166" s="3" t="s">
        <v>699</v>
      </c>
      <c r="G166" s="12" t="s">
        <v>51</v>
      </c>
      <c r="H166" s="10"/>
      <c r="I166" s="11" t="s">
        <v>7</v>
      </c>
    </row>
    <row r="167" customFormat="false" ht="23.85" hidden="false" customHeight="false" outlineLevel="0" collapsed="false">
      <c r="A167" s="4" t="s">
        <v>700</v>
      </c>
      <c r="B167" s="3" t="s">
        <v>39</v>
      </c>
      <c r="C167" s="3" t="s">
        <v>40</v>
      </c>
      <c r="D167" s="3" t="s">
        <v>701</v>
      </c>
      <c r="E167" s="3" t="s">
        <v>702</v>
      </c>
      <c r="F167" s="3" t="s">
        <v>703</v>
      </c>
      <c r="G167" s="12" t="s">
        <v>51</v>
      </c>
      <c r="H167" s="10"/>
      <c r="I167" s="11" t="s">
        <v>7</v>
      </c>
    </row>
    <row r="168" customFormat="false" ht="23.85" hidden="false" customHeight="false" outlineLevel="0" collapsed="false">
      <c r="A168" s="4" t="s">
        <v>704</v>
      </c>
      <c r="B168" s="3" t="s">
        <v>39</v>
      </c>
      <c r="C168" s="3" t="s">
        <v>40</v>
      </c>
      <c r="D168" s="3" t="s">
        <v>705</v>
      </c>
      <c r="E168" s="3" t="s">
        <v>706</v>
      </c>
      <c r="F168" s="3" t="s">
        <v>707</v>
      </c>
      <c r="G168" s="12" t="s">
        <v>51</v>
      </c>
      <c r="H168" s="10"/>
      <c r="I168" s="11" t="s">
        <v>7</v>
      </c>
    </row>
    <row r="169" customFormat="false" ht="23.85" hidden="false" customHeight="false" outlineLevel="0" collapsed="false">
      <c r="A169" s="4" t="s">
        <v>708</v>
      </c>
      <c r="B169" s="3" t="s">
        <v>39</v>
      </c>
      <c r="C169" s="3" t="s">
        <v>40</v>
      </c>
      <c r="D169" s="3" t="s">
        <v>709</v>
      </c>
      <c r="E169" s="3" t="s">
        <v>710</v>
      </c>
      <c r="F169" s="3" t="s">
        <v>711</v>
      </c>
      <c r="G169" s="12" t="s">
        <v>51</v>
      </c>
      <c r="H169" s="10"/>
      <c r="I169" s="11" t="s">
        <v>7</v>
      </c>
    </row>
    <row r="170" customFormat="false" ht="23.85" hidden="false" customHeight="false" outlineLevel="0" collapsed="false">
      <c r="A170" s="4" t="s">
        <v>712</v>
      </c>
      <c r="B170" s="3" t="s">
        <v>42</v>
      </c>
      <c r="C170" s="3" t="s">
        <v>43</v>
      </c>
      <c r="D170" s="3" t="s">
        <v>713</v>
      </c>
      <c r="E170" s="3" t="s">
        <v>714</v>
      </c>
      <c r="F170" s="3" t="s">
        <v>715</v>
      </c>
      <c r="G170" s="13" t="s">
        <v>53</v>
      </c>
      <c r="H170" s="10"/>
      <c r="I170" s="11" t="s">
        <v>7</v>
      </c>
    </row>
    <row r="171" customFormat="false" ht="15" hidden="false" customHeight="false" outlineLevel="0" collapsed="false">
      <c r="A171" s="4" t="s">
        <v>716</v>
      </c>
      <c r="B171" s="3" t="s">
        <v>42</v>
      </c>
      <c r="C171" s="3" t="s">
        <v>43</v>
      </c>
      <c r="D171" s="3" t="s">
        <v>717</v>
      </c>
      <c r="E171" s="3" t="s">
        <v>718</v>
      </c>
      <c r="F171" s="3" t="s">
        <v>719</v>
      </c>
      <c r="G171" s="13" t="s">
        <v>53</v>
      </c>
      <c r="H171" s="10"/>
      <c r="I171" s="11" t="s">
        <v>7</v>
      </c>
    </row>
    <row r="172" customFormat="false" ht="23.85" hidden="false" customHeight="false" outlineLevel="0" collapsed="false">
      <c r="A172" s="4" t="s">
        <v>720</v>
      </c>
      <c r="B172" s="3" t="s">
        <v>42</v>
      </c>
      <c r="C172" s="3" t="s">
        <v>43</v>
      </c>
      <c r="D172" s="3" t="s">
        <v>721</v>
      </c>
      <c r="E172" s="3" t="s">
        <v>722</v>
      </c>
      <c r="F172" s="3" t="s">
        <v>723</v>
      </c>
      <c r="G172" s="12" t="s">
        <v>51</v>
      </c>
      <c r="H172" s="10"/>
      <c r="I172" s="11" t="s">
        <v>7</v>
      </c>
    </row>
    <row r="173" customFormat="false" ht="15" hidden="false" customHeight="false" outlineLevel="0" collapsed="false">
      <c r="A173" s="4" t="s">
        <v>724</v>
      </c>
      <c r="B173" s="3" t="s">
        <v>42</v>
      </c>
      <c r="C173" s="3" t="s">
        <v>43</v>
      </c>
      <c r="D173" s="3" t="s">
        <v>725</v>
      </c>
      <c r="E173" s="3" t="s">
        <v>726</v>
      </c>
      <c r="F173" s="3" t="s">
        <v>727</v>
      </c>
      <c r="G173" s="12" t="s">
        <v>51</v>
      </c>
      <c r="H173" s="10"/>
      <c r="I173" s="11" t="s">
        <v>7</v>
      </c>
    </row>
    <row r="174" customFormat="false" ht="15" hidden="false" customHeight="false" outlineLevel="0" collapsed="false">
      <c r="A174" s="4" t="s">
        <v>728</v>
      </c>
      <c r="B174" s="3" t="s">
        <v>42</v>
      </c>
      <c r="C174" s="3" t="s">
        <v>43</v>
      </c>
      <c r="D174" s="3" t="s">
        <v>729</v>
      </c>
      <c r="E174" s="3" t="s">
        <v>730</v>
      </c>
      <c r="F174" s="3" t="s">
        <v>731</v>
      </c>
      <c r="G174" s="9" t="s">
        <v>49</v>
      </c>
      <c r="H174" s="10"/>
      <c r="I174" s="11" t="s">
        <v>7</v>
      </c>
    </row>
    <row r="175" customFormat="false" ht="15" hidden="false" customHeight="false" outlineLevel="0" collapsed="false">
      <c r="A175" s="4" t="s">
        <v>732</v>
      </c>
      <c r="B175" s="3" t="s">
        <v>42</v>
      </c>
      <c r="C175" s="3" t="s">
        <v>43</v>
      </c>
      <c r="D175" s="3" t="s">
        <v>733</v>
      </c>
      <c r="E175" s="3" t="s">
        <v>734</v>
      </c>
      <c r="F175" s="3" t="s">
        <v>735</v>
      </c>
      <c r="G175" s="9" t="s">
        <v>49</v>
      </c>
      <c r="H175" s="10"/>
      <c r="I175" s="11" t="s">
        <v>7</v>
      </c>
    </row>
    <row r="176" customFormat="false" ht="15" hidden="false" customHeight="false" outlineLevel="0" collapsed="false">
      <c r="A176" s="4" t="s">
        <v>736</v>
      </c>
      <c r="B176" s="3" t="s">
        <v>42</v>
      </c>
      <c r="C176" s="3" t="s">
        <v>43</v>
      </c>
      <c r="D176" s="3" t="s">
        <v>737</v>
      </c>
      <c r="E176" s="3" t="s">
        <v>738</v>
      </c>
      <c r="F176" s="3" t="s">
        <v>739</v>
      </c>
      <c r="G176" s="13" t="s">
        <v>53</v>
      </c>
      <c r="H176" s="10"/>
      <c r="I176" s="11" t="s">
        <v>7</v>
      </c>
    </row>
    <row r="177" customFormat="false" ht="15" hidden="false" customHeight="false" outlineLevel="0" collapsed="false">
      <c r="A177" s="4" t="s">
        <v>740</v>
      </c>
      <c r="B177" s="3" t="s">
        <v>42</v>
      </c>
      <c r="C177" s="3" t="s">
        <v>43</v>
      </c>
      <c r="D177" s="3" t="s">
        <v>741</v>
      </c>
      <c r="E177" s="3" t="s">
        <v>452</v>
      </c>
      <c r="F177" s="3" t="s">
        <v>742</v>
      </c>
      <c r="G177" s="12" t="s">
        <v>51</v>
      </c>
      <c r="H177" s="10"/>
      <c r="I177" s="11" t="s">
        <v>7</v>
      </c>
    </row>
    <row r="178" customFormat="false" ht="15" hidden="false" customHeight="false" outlineLevel="0" collapsed="false">
      <c r="A178" s="4" t="s">
        <v>743</v>
      </c>
      <c r="B178" s="3" t="s">
        <v>42</v>
      </c>
      <c r="C178" s="3" t="s">
        <v>43</v>
      </c>
      <c r="D178" s="3" t="s">
        <v>744</v>
      </c>
      <c r="E178" s="3" t="s">
        <v>452</v>
      </c>
      <c r="F178" s="3" t="s">
        <v>745</v>
      </c>
      <c r="G178" s="9" t="s">
        <v>49</v>
      </c>
      <c r="H178" s="10"/>
      <c r="I178" s="11" t="s">
        <v>7</v>
      </c>
    </row>
    <row r="179" customFormat="false" ht="15" hidden="false" customHeight="false" outlineLevel="0" collapsed="false">
      <c r="A179" s="4" t="s">
        <v>746</v>
      </c>
      <c r="B179" s="3" t="s">
        <v>42</v>
      </c>
      <c r="C179" s="3" t="s">
        <v>43</v>
      </c>
      <c r="D179" s="3" t="s">
        <v>747</v>
      </c>
      <c r="E179" s="3" t="s">
        <v>748</v>
      </c>
      <c r="F179" s="3" t="s">
        <v>749</v>
      </c>
      <c r="G179" s="12" t="s">
        <v>51</v>
      </c>
      <c r="H179" s="10"/>
      <c r="I179" s="11" t="s">
        <v>7</v>
      </c>
    </row>
    <row r="180" customFormat="false" ht="15" hidden="false" customHeight="false" outlineLevel="0" collapsed="false">
      <c r="A180" s="4" t="s">
        <v>750</v>
      </c>
      <c r="B180" s="3" t="s">
        <v>42</v>
      </c>
      <c r="C180" s="3" t="s">
        <v>43</v>
      </c>
      <c r="D180" s="3" t="s">
        <v>751</v>
      </c>
      <c r="E180" s="3" t="s">
        <v>752</v>
      </c>
      <c r="F180" s="3" t="s">
        <v>753</v>
      </c>
      <c r="G180" s="12" t="s">
        <v>51</v>
      </c>
      <c r="H180" s="10"/>
      <c r="I180" s="11" t="s">
        <v>7</v>
      </c>
    </row>
    <row r="181" customFormat="false" ht="15" hidden="false" customHeight="false" outlineLevel="0" collapsed="false">
      <c r="A181" s="4" t="s">
        <v>754</v>
      </c>
      <c r="B181" s="3" t="s">
        <v>42</v>
      </c>
      <c r="C181" s="3" t="s">
        <v>43</v>
      </c>
      <c r="D181" s="3" t="s">
        <v>755</v>
      </c>
      <c r="E181" s="3" t="s">
        <v>756</v>
      </c>
      <c r="F181" s="3" t="s">
        <v>757</v>
      </c>
      <c r="G181" s="13" t="s">
        <v>53</v>
      </c>
      <c r="H181" s="10"/>
      <c r="I181" s="11" t="s">
        <v>7</v>
      </c>
    </row>
    <row r="182" customFormat="false" ht="23.85" hidden="false" customHeight="false" outlineLevel="0" collapsed="false">
      <c r="A182" s="4" t="s">
        <v>758</v>
      </c>
      <c r="B182" s="3" t="s">
        <v>42</v>
      </c>
      <c r="C182" s="3" t="s">
        <v>43</v>
      </c>
      <c r="D182" s="3" t="s">
        <v>759</v>
      </c>
      <c r="E182" s="3" t="s">
        <v>760</v>
      </c>
      <c r="F182" s="3" t="s">
        <v>761</v>
      </c>
      <c r="G182" s="13" t="s">
        <v>53</v>
      </c>
      <c r="H182" s="10"/>
      <c r="I182" s="11" t="s">
        <v>7</v>
      </c>
    </row>
    <row r="183" customFormat="false" ht="15" hidden="false" customHeight="false" outlineLevel="0" collapsed="false">
      <c r="A183" s="4" t="s">
        <v>762</v>
      </c>
      <c r="B183" s="3" t="s">
        <v>42</v>
      </c>
      <c r="C183" s="3" t="s">
        <v>43</v>
      </c>
      <c r="D183" s="3" t="s">
        <v>763</v>
      </c>
      <c r="E183" s="3" t="s">
        <v>764</v>
      </c>
      <c r="F183" s="3" t="s">
        <v>765</v>
      </c>
      <c r="G183" s="13" t="s">
        <v>53</v>
      </c>
      <c r="H183" s="10"/>
      <c r="I183" s="11" t="s">
        <v>7</v>
      </c>
    </row>
    <row r="184" customFormat="false" ht="23.85" hidden="false" customHeight="false" outlineLevel="0" collapsed="false">
      <c r="A184" s="4" t="s">
        <v>766</v>
      </c>
      <c r="B184" s="3" t="s">
        <v>42</v>
      </c>
      <c r="C184" s="3" t="s">
        <v>43</v>
      </c>
      <c r="D184" s="3" t="s">
        <v>767</v>
      </c>
      <c r="E184" s="3" t="s">
        <v>768</v>
      </c>
      <c r="F184" s="3" t="s">
        <v>769</v>
      </c>
      <c r="G184" s="14" t="s">
        <v>55</v>
      </c>
      <c r="H184" s="10"/>
      <c r="I184" s="11" t="s">
        <v>7</v>
      </c>
    </row>
    <row r="185" customFormat="false" ht="23.85" hidden="false" customHeight="false" outlineLevel="0" collapsed="false">
      <c r="A185" s="4" t="s">
        <v>770</v>
      </c>
      <c r="B185" s="3" t="s">
        <v>45</v>
      </c>
      <c r="C185" s="3" t="s">
        <v>46</v>
      </c>
      <c r="D185" s="3" t="s">
        <v>771</v>
      </c>
      <c r="E185" s="3" t="s">
        <v>772</v>
      </c>
      <c r="F185" s="3" t="s">
        <v>155</v>
      </c>
      <c r="G185" s="9" t="s">
        <v>49</v>
      </c>
      <c r="H185" s="10"/>
      <c r="I185" s="11" t="s">
        <v>7</v>
      </c>
    </row>
    <row r="186" customFormat="false" ht="23.85" hidden="false" customHeight="false" outlineLevel="0" collapsed="false">
      <c r="A186" s="4" t="s">
        <v>773</v>
      </c>
      <c r="B186" s="3" t="s">
        <v>45</v>
      </c>
      <c r="C186" s="3" t="s">
        <v>46</v>
      </c>
      <c r="D186" s="3" t="s">
        <v>774</v>
      </c>
      <c r="E186" s="3" t="s">
        <v>775</v>
      </c>
      <c r="F186" s="3" t="s">
        <v>155</v>
      </c>
      <c r="G186" s="9" t="s">
        <v>49</v>
      </c>
      <c r="H186" s="10"/>
      <c r="I186" s="11" t="s">
        <v>7</v>
      </c>
    </row>
    <row r="187" customFormat="false" ht="15" hidden="false" customHeight="false" outlineLevel="0" collapsed="false">
      <c r="A187" s="4" t="s">
        <v>776</v>
      </c>
      <c r="B187" s="3" t="s">
        <v>45</v>
      </c>
      <c r="C187" s="3" t="s">
        <v>46</v>
      </c>
      <c r="D187" s="3" t="s">
        <v>777</v>
      </c>
      <c r="E187" s="3" t="s">
        <v>778</v>
      </c>
      <c r="F187" s="3" t="s">
        <v>779</v>
      </c>
      <c r="G187" s="9" t="s">
        <v>49</v>
      </c>
      <c r="H187" s="10"/>
      <c r="I187" s="11" t="s">
        <v>7</v>
      </c>
    </row>
    <row r="188" customFormat="false" ht="15" hidden="false" customHeight="false" outlineLevel="0" collapsed="false">
      <c r="A188" s="4" t="s">
        <v>780</v>
      </c>
      <c r="B188" s="3" t="s">
        <v>45</v>
      </c>
      <c r="C188" s="3" t="s">
        <v>46</v>
      </c>
      <c r="D188" s="3" t="s">
        <v>781</v>
      </c>
      <c r="E188" s="3" t="s">
        <v>782</v>
      </c>
      <c r="F188" s="3" t="s">
        <v>783</v>
      </c>
      <c r="G188" s="9" t="s">
        <v>49</v>
      </c>
      <c r="H188" s="10"/>
      <c r="I188" s="11" t="s">
        <v>7</v>
      </c>
    </row>
    <row r="189" customFormat="false" ht="15" hidden="false" customHeight="false" outlineLevel="0" collapsed="false">
      <c r="A189" s="4" t="s">
        <v>784</v>
      </c>
      <c r="B189" s="3" t="s">
        <v>45</v>
      </c>
      <c r="C189" s="3" t="s">
        <v>46</v>
      </c>
      <c r="D189" s="3" t="s">
        <v>785</v>
      </c>
      <c r="E189" s="3" t="s">
        <v>786</v>
      </c>
      <c r="F189" s="3" t="s">
        <v>783</v>
      </c>
      <c r="G189" s="12" t="s">
        <v>51</v>
      </c>
      <c r="H189" s="10"/>
      <c r="I189" s="11" t="s">
        <v>7</v>
      </c>
    </row>
    <row r="190" customFormat="false" ht="15" hidden="false" customHeight="false" outlineLevel="0" collapsed="false">
      <c r="A190" s="4" t="s">
        <v>787</v>
      </c>
      <c r="B190" s="3" t="s">
        <v>45</v>
      </c>
      <c r="C190" s="3" t="s">
        <v>46</v>
      </c>
      <c r="D190" s="3" t="s">
        <v>788</v>
      </c>
      <c r="E190" s="3" t="s">
        <v>789</v>
      </c>
      <c r="F190" s="3" t="s">
        <v>790</v>
      </c>
      <c r="G190" s="12" t="s">
        <v>51</v>
      </c>
      <c r="H190" s="10"/>
      <c r="I190" s="11" t="s">
        <v>7</v>
      </c>
    </row>
    <row r="191" customFormat="false" ht="23.85" hidden="false" customHeight="false" outlineLevel="0" collapsed="false">
      <c r="A191" s="4" t="s">
        <v>791</v>
      </c>
      <c r="B191" s="3" t="s">
        <v>45</v>
      </c>
      <c r="C191" s="3" t="s">
        <v>46</v>
      </c>
      <c r="D191" s="3" t="s">
        <v>792</v>
      </c>
      <c r="E191" s="3" t="s">
        <v>793</v>
      </c>
      <c r="F191" s="3" t="s">
        <v>794</v>
      </c>
      <c r="G191" s="12" t="s">
        <v>51</v>
      </c>
      <c r="H191" s="10"/>
      <c r="I191" s="11" t="s">
        <v>7</v>
      </c>
    </row>
    <row r="192" customFormat="false" ht="23.85" hidden="false" customHeight="false" outlineLevel="0" collapsed="false">
      <c r="A192" s="4" t="s">
        <v>795</v>
      </c>
      <c r="B192" s="3" t="s">
        <v>45</v>
      </c>
      <c r="C192" s="3" t="s">
        <v>46</v>
      </c>
      <c r="D192" s="3" t="s">
        <v>796</v>
      </c>
      <c r="E192" s="3" t="s">
        <v>797</v>
      </c>
      <c r="F192" s="3" t="s">
        <v>798</v>
      </c>
      <c r="G192" s="9" t="s">
        <v>49</v>
      </c>
      <c r="H192" s="10"/>
      <c r="I192" s="11" t="s">
        <v>7</v>
      </c>
    </row>
    <row r="193" customFormat="false" ht="23.85" hidden="false" customHeight="false" outlineLevel="0" collapsed="false">
      <c r="A193" s="4" t="s">
        <v>799</v>
      </c>
      <c r="B193" s="3" t="s">
        <v>45</v>
      </c>
      <c r="C193" s="3" t="s">
        <v>46</v>
      </c>
      <c r="D193" s="3" t="s">
        <v>800</v>
      </c>
      <c r="E193" s="3" t="s">
        <v>452</v>
      </c>
      <c r="F193" s="3" t="s">
        <v>512</v>
      </c>
      <c r="G193" s="9" t="s">
        <v>49</v>
      </c>
      <c r="H193" s="10"/>
      <c r="I193" s="11" t="s">
        <v>7</v>
      </c>
    </row>
    <row r="194" customFormat="false" ht="15" hidden="false" customHeight="false" outlineLevel="0" collapsed="false">
      <c r="A194" s="4" t="s">
        <v>801</v>
      </c>
      <c r="B194" s="3" t="s">
        <v>45</v>
      </c>
      <c r="C194" s="3" t="s">
        <v>46</v>
      </c>
      <c r="D194" s="3" t="s">
        <v>802</v>
      </c>
      <c r="E194" s="3" t="s">
        <v>803</v>
      </c>
      <c r="F194" s="3" t="s">
        <v>804</v>
      </c>
      <c r="G194" s="13" t="s">
        <v>53</v>
      </c>
      <c r="H194" s="10"/>
      <c r="I194" s="11" t="s">
        <v>7</v>
      </c>
    </row>
    <row r="195" customFormat="false" ht="15" hidden="false" customHeight="false" outlineLevel="0" collapsed="false">
      <c r="A195" s="4" t="s">
        <v>805</v>
      </c>
      <c r="B195" s="3" t="s">
        <v>45</v>
      </c>
      <c r="C195" s="3" t="s">
        <v>46</v>
      </c>
      <c r="D195" s="3" t="s">
        <v>806</v>
      </c>
      <c r="E195" s="3" t="s">
        <v>807</v>
      </c>
      <c r="F195" s="3" t="s">
        <v>808</v>
      </c>
      <c r="G195" s="13" t="s">
        <v>53</v>
      </c>
      <c r="H195" s="10"/>
      <c r="I195" s="11" t="s">
        <v>7</v>
      </c>
    </row>
    <row r="196" customFormat="false" ht="15" hidden="false" customHeight="false" outlineLevel="0" collapsed="false">
      <c r="A196" s="4" t="s">
        <v>809</v>
      </c>
      <c r="B196" s="3" t="s">
        <v>45</v>
      </c>
      <c r="C196" s="3" t="s">
        <v>46</v>
      </c>
      <c r="D196" s="3" t="s">
        <v>810</v>
      </c>
      <c r="E196" s="3" t="s">
        <v>811</v>
      </c>
      <c r="F196" s="3" t="s">
        <v>812</v>
      </c>
      <c r="G196" s="12" t="s">
        <v>51</v>
      </c>
      <c r="H196" s="10"/>
      <c r="I196" s="11" t="s">
        <v>7</v>
      </c>
    </row>
    <row r="197" customFormat="false" ht="15" hidden="false" customHeight="false" outlineLevel="0" collapsed="false">
      <c r="A197" s="4" t="s">
        <v>813</v>
      </c>
      <c r="B197" s="3" t="s">
        <v>45</v>
      </c>
      <c r="C197" s="3" t="s">
        <v>46</v>
      </c>
      <c r="D197" s="3" t="s">
        <v>814</v>
      </c>
      <c r="E197" s="3" t="s">
        <v>815</v>
      </c>
      <c r="F197" s="3" t="s">
        <v>816</v>
      </c>
      <c r="G197" s="12" t="s">
        <v>51</v>
      </c>
      <c r="H197" s="10"/>
      <c r="I197" s="11" t="s">
        <v>7</v>
      </c>
    </row>
    <row r="198" customFormat="false" ht="23.85" hidden="false" customHeight="false" outlineLevel="0" collapsed="false">
      <c r="A198" s="4" t="s">
        <v>817</v>
      </c>
      <c r="B198" s="3" t="s">
        <v>45</v>
      </c>
      <c r="C198" s="3" t="s">
        <v>46</v>
      </c>
      <c r="D198" s="3" t="s">
        <v>818</v>
      </c>
      <c r="E198" s="3" t="s">
        <v>819</v>
      </c>
      <c r="F198" s="3" t="s">
        <v>155</v>
      </c>
      <c r="G198" s="9" t="s">
        <v>49</v>
      </c>
      <c r="H198" s="10"/>
      <c r="I198" s="11" t="s">
        <v>7</v>
      </c>
    </row>
    <row r="199" customFormat="false" ht="23.85" hidden="false" customHeight="false" outlineLevel="0" collapsed="false">
      <c r="A199" s="4" t="s">
        <v>820</v>
      </c>
      <c r="B199" s="3" t="s">
        <v>45</v>
      </c>
      <c r="C199" s="3" t="s">
        <v>46</v>
      </c>
      <c r="D199" s="3" t="s">
        <v>821</v>
      </c>
      <c r="E199" s="3" t="s">
        <v>822</v>
      </c>
      <c r="F199" s="3" t="s">
        <v>823</v>
      </c>
      <c r="G199" s="12" t="s">
        <v>51</v>
      </c>
      <c r="H199" s="10"/>
      <c r="I199" s="11" t="s">
        <v>7</v>
      </c>
    </row>
    <row r="200" customFormat="false" ht="15" hidden="false" customHeight="false" outlineLevel="0" collapsed="false">
      <c r="A200" s="4" t="s">
        <v>824</v>
      </c>
      <c r="B200" s="3" t="s">
        <v>45</v>
      </c>
      <c r="C200" s="3" t="s">
        <v>46</v>
      </c>
      <c r="D200" s="3" t="s">
        <v>825</v>
      </c>
      <c r="E200" s="3" t="s">
        <v>826</v>
      </c>
      <c r="F200" s="3" t="s">
        <v>155</v>
      </c>
      <c r="G200" s="9" t="s">
        <v>49</v>
      </c>
      <c r="H200" s="10"/>
      <c r="I200" s="11" t="s">
        <v>7</v>
      </c>
    </row>
    <row r="201" customFormat="false" ht="23.85" hidden="false" customHeight="false" outlineLevel="0" collapsed="false">
      <c r="A201" s="4" t="s">
        <v>827</v>
      </c>
      <c r="B201" s="3" t="s">
        <v>45</v>
      </c>
      <c r="C201" s="3" t="s">
        <v>46</v>
      </c>
      <c r="D201" s="3" t="s">
        <v>828</v>
      </c>
      <c r="E201" s="3" t="s">
        <v>829</v>
      </c>
      <c r="F201" s="3" t="s">
        <v>830</v>
      </c>
      <c r="G201" s="9" t="s">
        <v>49</v>
      </c>
      <c r="H201" s="10"/>
      <c r="I201" s="11" t="s">
        <v>7</v>
      </c>
    </row>
    <row r="202" customFormat="false" ht="23.85" hidden="false" customHeight="false" outlineLevel="0" collapsed="false">
      <c r="A202" s="4" t="s">
        <v>831</v>
      </c>
      <c r="B202" s="3" t="s">
        <v>45</v>
      </c>
      <c r="C202" s="3" t="s">
        <v>46</v>
      </c>
      <c r="D202" s="3" t="s">
        <v>832</v>
      </c>
      <c r="E202" s="3" t="s">
        <v>833</v>
      </c>
      <c r="F202" s="3" t="s">
        <v>834</v>
      </c>
      <c r="G202" s="9" t="s">
        <v>49</v>
      </c>
      <c r="H202" s="10"/>
      <c r="I202" s="11" t="s">
        <v>7</v>
      </c>
    </row>
    <row r="203" customFormat="false" ht="23.85" hidden="false" customHeight="false" outlineLevel="0" collapsed="false">
      <c r="A203" s="4" t="s">
        <v>835</v>
      </c>
      <c r="B203" s="3" t="s">
        <v>45</v>
      </c>
      <c r="C203" s="3" t="s">
        <v>46</v>
      </c>
      <c r="D203" s="3" t="s">
        <v>836</v>
      </c>
      <c r="E203" s="3" t="s">
        <v>837</v>
      </c>
      <c r="F203" s="3" t="s">
        <v>838</v>
      </c>
      <c r="G203" s="9" t="s">
        <v>49</v>
      </c>
      <c r="H203" s="10"/>
      <c r="I203" s="11" t="s">
        <v>7</v>
      </c>
    </row>
    <row r="204" customFormat="false" ht="15" hidden="false" customHeight="false" outlineLevel="0" collapsed="false">
      <c r="A204" s="4" t="s">
        <v>839</v>
      </c>
      <c r="B204" s="3" t="s">
        <v>45</v>
      </c>
      <c r="C204" s="3" t="s">
        <v>46</v>
      </c>
      <c r="D204" s="3" t="s">
        <v>840</v>
      </c>
      <c r="E204" s="3" t="s">
        <v>841</v>
      </c>
      <c r="F204" s="3" t="s">
        <v>842</v>
      </c>
      <c r="G204" s="12" t="s">
        <v>51</v>
      </c>
      <c r="H204" s="10"/>
      <c r="I204" s="11" t="s">
        <v>7</v>
      </c>
    </row>
    <row r="205" customFormat="false" ht="23.85" hidden="false" customHeight="false" outlineLevel="0" collapsed="false">
      <c r="A205" s="4" t="s">
        <v>843</v>
      </c>
      <c r="B205" s="3" t="s">
        <v>45</v>
      </c>
      <c r="C205" s="3" t="s">
        <v>46</v>
      </c>
      <c r="D205" s="3" t="s">
        <v>844</v>
      </c>
      <c r="E205" s="3" t="s">
        <v>845</v>
      </c>
      <c r="F205" s="3" t="s">
        <v>846</v>
      </c>
      <c r="G205" s="9" t="s">
        <v>49</v>
      </c>
      <c r="H205" s="10"/>
      <c r="I205" s="11" t="s">
        <v>7</v>
      </c>
    </row>
  </sheetData>
  <autoFilter ref="A1:I205"/>
  <dataValidations count="1">
    <dataValidation allowBlank="false" errorStyle="stop" operator="between" showDropDown="false" showErrorMessage="false" showInputMessage="false" sqref="I2:I205" type="list">
      <formula1>"Chưa chạy,Đạt,Không đạt,Bị chặn,Không áp dụng"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2026-10-12T11:21:07Z</dcterms:created>
  <dc:creator>openpyxl</dc:creator>
  <dc:description/>
  <dc:language>en-US</dc:language>
  <cp:lastModifiedBy/>
  <dcterms:modified xsi:type="dcterms:W3CDTF">2026-10-12T11:21:07Z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